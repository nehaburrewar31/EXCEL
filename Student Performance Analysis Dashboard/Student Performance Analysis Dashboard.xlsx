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ehaburrewar\Desktop\excel-2026\projects\EXCEL\Student Performance Analysis Dashboard\"/>
    </mc:Choice>
  </mc:AlternateContent>
  <xr:revisionPtr revIDLastSave="0" documentId="8_{B593BFD3-840A-4455-A28E-A0EEA26D2B34}" xr6:coauthVersionLast="47" xr6:coauthVersionMax="47" xr10:uidLastSave="{00000000-0000-0000-0000-000000000000}"/>
  <bookViews>
    <workbookView xWindow="-108" yWindow="-108" windowWidth="23256" windowHeight="12456" xr2:uid="{F3FC3E99-4959-4537-8982-B8E019A2E579}"/>
  </bookViews>
  <sheets>
    <sheet name="DATA" sheetId="1" r:id="rId1"/>
    <sheet name="PIVOT TABLE" sheetId="2" r:id="rId2"/>
    <sheet name="DASHBOARD" sheetId="4" r:id="rId3"/>
  </sheets>
  <definedNames>
    <definedName name="Slicer_Course">#N/A</definedName>
    <definedName name="Slicer_Gender">#N/A</definedName>
    <definedName name="Slicer_Grade">#N/A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2" l="1"/>
  <c r="N31" i="1"/>
  <c r="B43" i="1"/>
  <c r="B42" i="1"/>
  <c r="B40" i="1"/>
  <c r="B34"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L26" i="1" s="1"/>
  <c r="J27" i="1"/>
  <c r="K27" i="1" s="1"/>
  <c r="J28" i="1"/>
  <c r="K28" i="1" s="1"/>
  <c r="J29" i="1"/>
  <c r="K29" i="1" s="1"/>
  <c r="J30" i="1"/>
  <c r="K30" i="1" s="1"/>
  <c r="J31" i="1"/>
  <c r="K31" i="1" s="1"/>
  <c r="I2" i="1"/>
  <c r="M2" i="1" s="1"/>
  <c r="I3" i="1"/>
  <c r="M3" i="1" s="1"/>
  <c r="I4" i="1"/>
  <c r="M4" i="1" s="1"/>
  <c r="I5" i="1"/>
  <c r="M5" i="1" s="1"/>
  <c r="I6" i="1"/>
  <c r="M6" i="1" s="1"/>
  <c r="I7" i="1"/>
  <c r="M7" i="1" s="1"/>
  <c r="I8" i="1"/>
  <c r="M8" i="1" s="1"/>
  <c r="I9" i="1"/>
  <c r="M9" i="1" s="1"/>
  <c r="I10" i="1"/>
  <c r="M10" i="1" s="1"/>
  <c r="I11" i="1"/>
  <c r="M11" i="1" s="1"/>
  <c r="I12" i="1"/>
  <c r="M12" i="1" s="1"/>
  <c r="I13" i="1"/>
  <c r="M13" i="1" s="1"/>
  <c r="I14" i="1"/>
  <c r="M14" i="1" s="1"/>
  <c r="I15" i="1"/>
  <c r="M15" i="1" s="1"/>
  <c r="I16" i="1"/>
  <c r="M16" i="1" s="1"/>
  <c r="I17" i="1"/>
  <c r="M17" i="1" s="1"/>
  <c r="I18" i="1"/>
  <c r="M18" i="1" s="1"/>
  <c r="I19" i="1"/>
  <c r="M19" i="1" s="1"/>
  <c r="I20" i="1"/>
  <c r="M20" i="1" s="1"/>
  <c r="I21" i="1"/>
  <c r="M21" i="1" s="1"/>
  <c r="I22" i="1"/>
  <c r="M22" i="1" s="1"/>
  <c r="I23" i="1"/>
  <c r="M23" i="1" s="1"/>
  <c r="I24" i="1"/>
  <c r="M24" i="1" s="1"/>
  <c r="I25" i="1"/>
  <c r="M25" i="1" s="1"/>
  <c r="I26" i="1"/>
  <c r="M26" i="1" s="1"/>
  <c r="I27" i="1"/>
  <c r="M27" i="1" s="1"/>
  <c r="I28" i="1"/>
  <c r="M28" i="1" s="1"/>
  <c r="I29" i="1"/>
  <c r="M29" i="1" s="1"/>
  <c r="I30" i="1"/>
  <c r="M30" i="1" s="1"/>
  <c r="I31" i="1"/>
  <c r="M31" i="1" s="1"/>
  <c r="N20" i="1" l="1"/>
  <c r="N19" i="1"/>
  <c r="N13" i="1"/>
  <c r="N22" i="1"/>
  <c r="N11" i="1"/>
  <c r="N10" i="1"/>
  <c r="N9" i="1"/>
  <c r="N12" i="1"/>
  <c r="N8" i="1"/>
  <c r="N7" i="1"/>
  <c r="N25" i="1"/>
  <c r="N24" i="1"/>
  <c r="N23" i="1"/>
  <c r="N21" i="1"/>
  <c r="J13" i="2"/>
  <c r="N30" i="1"/>
  <c r="N18" i="1"/>
  <c r="N6" i="1"/>
  <c r="N29" i="1"/>
  <c r="N17" i="1"/>
  <c r="N5" i="1"/>
  <c r="N28" i="1"/>
  <c r="N16" i="1"/>
  <c r="N4" i="1"/>
  <c r="N27" i="1"/>
  <c r="N15" i="1"/>
  <c r="N3" i="1"/>
  <c r="N26" i="1"/>
  <c r="N14" i="1"/>
  <c r="N2" i="1"/>
  <c r="L10" i="1"/>
  <c r="L12" i="1"/>
  <c r="L8" i="1"/>
  <c r="L13" i="1"/>
  <c r="L2" i="1"/>
  <c r="J14" i="2" s="1"/>
  <c r="L11" i="1"/>
  <c r="L9" i="1"/>
  <c r="L25" i="1"/>
  <c r="L24" i="1"/>
  <c r="B35" i="1"/>
  <c r="L23" i="1"/>
  <c r="L22" i="1"/>
  <c r="L21" i="1"/>
  <c r="B37" i="1"/>
  <c r="L20" i="1"/>
  <c r="B36" i="1"/>
  <c r="L31" i="1"/>
  <c r="L19" i="1"/>
  <c r="L7" i="1"/>
  <c r="L30" i="1"/>
  <c r="L18" i="1"/>
  <c r="L6" i="1"/>
  <c r="L29" i="1"/>
  <c r="L17" i="1"/>
  <c r="L5" i="1"/>
  <c r="L28" i="1"/>
  <c r="L16" i="1"/>
  <c r="L4" i="1"/>
  <c r="L27" i="1"/>
  <c r="L15" i="1"/>
  <c r="L3" i="1"/>
  <c r="L14" i="1"/>
  <c r="K26" i="1"/>
  <c r="B38" i="1" l="1"/>
  <c r="B39" i="1"/>
</calcChain>
</file>

<file path=xl/sharedStrings.xml><?xml version="1.0" encoding="utf-8"?>
<sst xmlns="http://schemas.openxmlformats.org/spreadsheetml/2006/main" count="179" uniqueCount="87">
  <si>
    <t>Student_ID</t>
  </si>
  <si>
    <t>Student_Name</t>
  </si>
  <si>
    <t>Gender</t>
  </si>
  <si>
    <t>Course</t>
  </si>
  <si>
    <t>Math</t>
  </si>
  <si>
    <t>Science</t>
  </si>
  <si>
    <t>English</t>
  </si>
  <si>
    <t>Attendance_%</t>
  </si>
  <si>
    <t>Rahul</t>
  </si>
  <si>
    <t>Male</t>
  </si>
  <si>
    <t>Data Science</t>
  </si>
  <si>
    <t>Priya</t>
  </si>
  <si>
    <t>Female</t>
  </si>
  <si>
    <t>Arjun</t>
  </si>
  <si>
    <t>Python</t>
  </si>
  <si>
    <t>Sneha</t>
  </si>
  <si>
    <t>Kiran</t>
  </si>
  <si>
    <t>Excel</t>
  </si>
  <si>
    <t>Pooja</t>
  </si>
  <si>
    <t>Rohan</t>
  </si>
  <si>
    <t>SQL</t>
  </si>
  <si>
    <t>Kavya</t>
  </si>
  <si>
    <t>Amit</t>
  </si>
  <si>
    <t>Neha</t>
  </si>
  <si>
    <t>Vijay</t>
  </si>
  <si>
    <t>Anjali</t>
  </si>
  <si>
    <t>Deepak</t>
  </si>
  <si>
    <t>Swati</t>
  </si>
  <si>
    <t>Nikhil</t>
  </si>
  <si>
    <t>Asha</t>
  </si>
  <si>
    <t>Suresh</t>
  </si>
  <si>
    <t>Divya</t>
  </si>
  <si>
    <t>Manoj</t>
  </si>
  <si>
    <t>Bhavana</t>
  </si>
  <si>
    <t>Raj</t>
  </si>
  <si>
    <t>Meena</t>
  </si>
  <si>
    <t>Akash</t>
  </si>
  <si>
    <t>Rekha</t>
  </si>
  <si>
    <t>Sanjay</t>
  </si>
  <si>
    <t>Jyoti</t>
  </si>
  <si>
    <t>Tarun</t>
  </si>
  <si>
    <t>Shreya</t>
  </si>
  <si>
    <t>Naveen</t>
  </si>
  <si>
    <t>Ritu</t>
  </si>
  <si>
    <t>total_marks</t>
  </si>
  <si>
    <t>Average_marks</t>
  </si>
  <si>
    <t>Grade</t>
  </si>
  <si>
    <t>1. Find total students.</t>
  </si>
  <si>
    <t>2.Find average marks of all students.</t>
  </si>
  <si>
    <t>3.Find highest scorer.</t>
  </si>
  <si>
    <t>4. Find lowest scorer.</t>
  </si>
  <si>
    <t>5. Count Pass students.=count(</t>
  </si>
  <si>
    <t>6. Count Fail students</t>
  </si>
  <si>
    <t>7.average attendence</t>
  </si>
  <si>
    <t>8. Students with attendance below 75%</t>
  </si>
  <si>
    <t>9. Count students in Data Science course.</t>
  </si>
  <si>
    <t>10. Average Math marks.</t>
  </si>
  <si>
    <t>Course-wise student count.</t>
  </si>
  <si>
    <t>Row Labels</t>
  </si>
  <si>
    <t>Grand Total</t>
  </si>
  <si>
    <t>Count of Student_Name</t>
  </si>
  <si>
    <t>Gender-wise student count.</t>
  </si>
  <si>
    <t>Average marks by course.</t>
  </si>
  <si>
    <t>Sum of Average_marks</t>
  </si>
  <si>
    <t>Pass/Fail percentage.</t>
  </si>
  <si>
    <t>pass</t>
  </si>
  <si>
    <t>Result</t>
  </si>
  <si>
    <t>marks %</t>
  </si>
  <si>
    <t>Top 10 students.</t>
  </si>
  <si>
    <t>Sum of total_marks</t>
  </si>
  <si>
    <t>Attendance by course</t>
  </si>
  <si>
    <t>avg attendance</t>
  </si>
  <si>
    <t>Sum of marks %</t>
  </si>
  <si>
    <t>A</t>
  </si>
  <si>
    <t>B</t>
  </si>
  <si>
    <t>C</t>
  </si>
  <si>
    <t>O</t>
  </si>
  <si>
    <t>Grade Distribution</t>
  </si>
  <si>
    <t>Total Students KPI</t>
  </si>
  <si>
    <t>Count of Result</t>
  </si>
  <si>
    <t>Average Marks KPI</t>
  </si>
  <si>
    <t>Pass Percentage KPI</t>
  </si>
  <si>
    <t>Total Students</t>
  </si>
  <si>
    <t>Average Marks</t>
  </si>
  <si>
    <t>Pass %</t>
  </si>
  <si>
    <t>Average Attendance</t>
  </si>
  <si>
    <t>Student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</si>
</sst>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7" x14ac:knownFonts="1">
    <font>
      <sz val="11"/>
      <color theme="1"/>
      <name val="Calibri"/>
      <family val="2"/>
      <scheme val="minor"/>
    </font>
    <font>
      <b/>
      <sz val="11"/>
      <color theme="1"/>
      <name val="Calibri"/>
      <family val="2"/>
      <scheme val="minor"/>
    </font>
    <font>
      <sz val="16"/>
      <color theme="1"/>
      <name val="Calibri"/>
      <family val="2"/>
      <scheme val="minor"/>
    </font>
    <font>
      <b/>
      <sz val="16"/>
      <color theme="3" tint="0.79998168889431442"/>
      <name val="Calibri"/>
      <family val="2"/>
      <scheme val="minor"/>
    </font>
    <font>
      <sz val="16"/>
      <color theme="4" tint="-0.499984740745262"/>
      <name val="Calibri"/>
      <family val="2"/>
      <scheme val="minor"/>
    </font>
    <font>
      <sz val="16"/>
      <color theme="7" tint="-0.499984740745262"/>
      <name val="Calibri"/>
      <family val="2"/>
      <scheme val="minor"/>
    </font>
    <font>
      <sz val="16"/>
      <color theme="8" tint="-0.499984740745262"/>
      <name val="Calibri"/>
      <family val="2"/>
      <scheme val="minor"/>
    </font>
  </fonts>
  <fills count="7">
    <fill>
      <patternFill patternType="none"/>
    </fill>
    <fill>
      <patternFill patternType="gray125"/>
    </fill>
    <fill>
      <patternFill patternType="solid">
        <fgColor theme="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2" fontId="0" fillId="0" borderId="0" xfId="0" applyNumberFormat="1" applyAlignment="1">
      <alignment vertical="center" wrapText="1"/>
    </xf>
    <xf numFmtId="172" fontId="0" fillId="0" borderId="0" xfId="0" applyNumberFormat="1" applyAlignment="1">
      <alignment vertical="center" wrapText="1"/>
    </xf>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2" fontId="0" fillId="0" borderId="0" xfId="0" applyNumberFormat="1"/>
    <xf numFmtId="0" fontId="1" fillId="0" borderId="0" xfId="0" applyFont="1" applyAlignment="1"/>
    <xf numFmtId="0" fontId="1" fillId="0" borderId="0" xfId="0" applyFont="1"/>
    <xf numFmtId="0" fontId="3" fillId="2" borderId="0" xfId="0" applyFont="1" applyFill="1" applyAlignment="1">
      <alignment horizontal="center" vertical="center"/>
    </xf>
    <xf numFmtId="0" fontId="3" fillId="0" borderId="0" xfId="0" applyFont="1" applyFill="1" applyAlignment="1">
      <alignment horizontal="center" vertical="center"/>
    </xf>
    <xf numFmtId="0" fontId="0" fillId="0" borderId="0" xfId="0" applyFill="1"/>
    <xf numFmtId="0" fontId="2" fillId="0" borderId="0" xfId="0" applyFont="1" applyFill="1" applyAlignment="1">
      <alignment horizontal="center" vertical="center"/>
    </xf>
    <xf numFmtId="0" fontId="2" fillId="6" borderId="0" xfId="0" applyFont="1" applyFill="1" applyAlignment="1">
      <alignment horizontal="center" vertical="center"/>
    </xf>
    <xf numFmtId="0" fontId="4" fillId="3" borderId="0" xfId="0" applyFont="1" applyFill="1" applyAlignment="1">
      <alignment horizontal="center" vertical="center"/>
    </xf>
    <xf numFmtId="0" fontId="5" fillId="4" borderId="0" xfId="0" applyFont="1" applyFill="1" applyAlignment="1">
      <alignment horizontal="center" vertical="center"/>
    </xf>
    <xf numFmtId="0" fontId="6" fillId="5" borderId="0" xfId="0" applyFont="1" applyFill="1" applyAlignment="1">
      <alignment horizontal="center" vertical="center"/>
    </xf>
    <xf numFmtId="0" fontId="0" fillId="2" borderId="0" xfId="0" applyFill="1"/>
  </cellXfs>
  <cellStyles count="1">
    <cellStyle name="Normal" xfId="0" builtinId="0"/>
  </cellStyles>
  <dxfs count="16">
    <dxf>
      <numFmt numFmtId="172" formatCode="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wrapText="1" indent="0" justifyLastLine="0" shrinkToFit="0" readingOrder="0"/>
    </dxf>
    <dxf>
      <numFmt numFmtId="172" formatCode="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Course-wise Student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TABLE'!$C$5</c:f>
              <c:strCache>
                <c:ptCount val="1"/>
                <c:pt idx="0">
                  <c:v>Total</c:v>
                </c:pt>
              </c:strCache>
            </c:strRef>
          </c:tx>
          <c:spPr>
            <a:solidFill>
              <a:schemeClr val="accent1"/>
            </a:solidFill>
            <a:ln>
              <a:noFill/>
            </a:ln>
            <a:effectLst/>
          </c:spPr>
          <c:invertIfNegative val="0"/>
          <c:cat>
            <c:strRef>
              <c:f>'PIVOT TABLE'!$B$6:$B$10</c:f>
              <c:strCache>
                <c:ptCount val="4"/>
                <c:pt idx="0">
                  <c:v>Data Science</c:v>
                </c:pt>
                <c:pt idx="1">
                  <c:v>Excel</c:v>
                </c:pt>
                <c:pt idx="2">
                  <c:v>Python</c:v>
                </c:pt>
                <c:pt idx="3">
                  <c:v>SQL</c:v>
                </c:pt>
              </c:strCache>
            </c:strRef>
          </c:cat>
          <c:val>
            <c:numRef>
              <c:f>'PIVOT TABLE'!$C$6:$C$10</c:f>
              <c:numCache>
                <c:formatCode>General</c:formatCode>
                <c:ptCount val="4"/>
                <c:pt idx="0">
                  <c:v>8</c:v>
                </c:pt>
                <c:pt idx="1">
                  <c:v>8</c:v>
                </c:pt>
                <c:pt idx="2">
                  <c:v>7</c:v>
                </c:pt>
                <c:pt idx="3">
                  <c:v>7</c:v>
                </c:pt>
              </c:numCache>
            </c:numRef>
          </c:val>
          <c:extLst>
            <c:ext xmlns:c16="http://schemas.microsoft.com/office/drawing/2014/chart" uri="{C3380CC4-5D6E-409C-BE32-E72D297353CC}">
              <c16:uniqueId val="{00000000-7E4E-4583-9582-743E7FA52CC6}"/>
            </c:ext>
          </c:extLst>
        </c:ser>
        <c:dLbls>
          <c:showLegendKey val="0"/>
          <c:showVal val="0"/>
          <c:showCatName val="0"/>
          <c:showSerName val="0"/>
          <c:showPercent val="0"/>
          <c:showBubbleSize val="0"/>
        </c:dLbls>
        <c:gapWidth val="182"/>
        <c:axId val="625984896"/>
        <c:axId val="626002656"/>
      </c:barChart>
      <c:catAx>
        <c:axId val="62598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02656"/>
        <c:crosses val="autoZero"/>
        <c:auto val="1"/>
        <c:lblAlgn val="ctr"/>
        <c:lblOffset val="100"/>
        <c:noMultiLvlLbl val="0"/>
      </c:catAx>
      <c:valAx>
        <c:axId val="62600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Dashboard.xlsx]PIVOT TABLE!PivotTable2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c:f>
              <c:strCache>
                <c:ptCount val="1"/>
                <c:pt idx="0">
                  <c:v>Total</c:v>
                </c:pt>
              </c:strCache>
            </c:strRef>
          </c:tx>
          <c:spPr>
            <a:solidFill>
              <a:schemeClr val="accent1"/>
            </a:solidFill>
            <a:ln>
              <a:noFill/>
            </a:ln>
            <a:effectLst/>
          </c:spPr>
          <c:invertIfNegative val="0"/>
          <c:cat>
            <c:strRef>
              <c:f>'PIVOT TABLE'!$E$6:$E$8</c:f>
              <c:strCache>
                <c:ptCount val="2"/>
                <c:pt idx="0">
                  <c:v>Female</c:v>
                </c:pt>
                <c:pt idx="1">
                  <c:v>Male</c:v>
                </c:pt>
              </c:strCache>
            </c:strRef>
          </c:cat>
          <c:val>
            <c:numRef>
              <c:f>'PIVOT TABLE'!$F$6:$F$8</c:f>
              <c:numCache>
                <c:formatCode>General</c:formatCode>
                <c:ptCount val="2"/>
                <c:pt idx="0">
                  <c:v>15</c:v>
                </c:pt>
                <c:pt idx="1">
                  <c:v>15</c:v>
                </c:pt>
              </c:numCache>
            </c:numRef>
          </c:val>
          <c:extLst>
            <c:ext xmlns:c16="http://schemas.microsoft.com/office/drawing/2014/chart" uri="{C3380CC4-5D6E-409C-BE32-E72D297353CC}">
              <c16:uniqueId val="{00000000-D496-4A42-A420-DD183238DFA4}"/>
            </c:ext>
          </c:extLst>
        </c:ser>
        <c:dLbls>
          <c:showLegendKey val="0"/>
          <c:showVal val="0"/>
          <c:showCatName val="0"/>
          <c:showSerName val="0"/>
          <c:showPercent val="0"/>
          <c:showBubbleSize val="0"/>
        </c:dLbls>
        <c:gapWidth val="219"/>
        <c:overlap val="-27"/>
        <c:axId val="1413620656"/>
        <c:axId val="1413618736"/>
      </c:barChart>
      <c:catAx>
        <c:axId val="141362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18736"/>
        <c:crosses val="autoZero"/>
        <c:auto val="1"/>
        <c:lblAlgn val="ctr"/>
        <c:lblOffset val="100"/>
        <c:noMultiLvlLbl val="0"/>
      </c:catAx>
      <c:valAx>
        <c:axId val="141361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Dashboard.xlsx]PIVOT TABLE!PivotTable14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TABLE'!$H$24:$H$28</c:f>
              <c:strCache>
                <c:ptCount val="4"/>
                <c:pt idx="0">
                  <c:v>A</c:v>
                </c:pt>
                <c:pt idx="1">
                  <c:v>B</c:v>
                </c:pt>
                <c:pt idx="2">
                  <c:v>C</c:v>
                </c:pt>
                <c:pt idx="3">
                  <c:v>O</c:v>
                </c:pt>
              </c:strCache>
            </c:strRef>
          </c:cat>
          <c:val>
            <c:numRef>
              <c:f>'PIVOT TABLE'!$I$24:$I$28</c:f>
              <c:numCache>
                <c:formatCode>General</c:formatCode>
                <c:ptCount val="4"/>
                <c:pt idx="0">
                  <c:v>12</c:v>
                </c:pt>
                <c:pt idx="1">
                  <c:v>9</c:v>
                </c:pt>
                <c:pt idx="2">
                  <c:v>2</c:v>
                </c:pt>
                <c:pt idx="3">
                  <c:v>7</c:v>
                </c:pt>
              </c:numCache>
            </c:numRef>
          </c:val>
          <c:smooth val="0"/>
          <c:extLst>
            <c:ext xmlns:c16="http://schemas.microsoft.com/office/drawing/2014/chart" uri="{C3380CC4-5D6E-409C-BE32-E72D297353CC}">
              <c16:uniqueId val="{00000000-50C6-4A7D-A574-8A154E32B53F}"/>
            </c:ext>
          </c:extLst>
        </c:ser>
        <c:dLbls>
          <c:showLegendKey val="0"/>
          <c:showVal val="0"/>
          <c:showCatName val="0"/>
          <c:showSerName val="0"/>
          <c:showPercent val="0"/>
          <c:showBubbleSize val="0"/>
        </c:dLbls>
        <c:marker val="1"/>
        <c:smooth val="0"/>
        <c:axId val="1413625936"/>
        <c:axId val="1413623056"/>
      </c:lineChart>
      <c:catAx>
        <c:axId val="141362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23056"/>
        <c:crosses val="autoZero"/>
        <c:auto val="1"/>
        <c:lblAlgn val="ctr"/>
        <c:lblOffset val="100"/>
        <c:noMultiLvlLbl val="0"/>
      </c:catAx>
      <c:valAx>
        <c:axId val="141362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2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 Dashboard.xlsx]PIVOT TABLE!PivotTable13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TABLE'!$E$24:$E$28</c:f>
              <c:strCache>
                <c:ptCount val="4"/>
                <c:pt idx="0">
                  <c:v>Data Science</c:v>
                </c:pt>
                <c:pt idx="1">
                  <c:v>Excel</c:v>
                </c:pt>
                <c:pt idx="2">
                  <c:v>Python</c:v>
                </c:pt>
                <c:pt idx="3">
                  <c:v>SQL</c:v>
                </c:pt>
              </c:strCache>
            </c:strRef>
          </c:cat>
          <c:val>
            <c:numRef>
              <c:f>'PIVOT TABLE'!$F$24:$F$28</c:f>
              <c:numCache>
                <c:formatCode>0.00</c:formatCode>
                <c:ptCount val="4"/>
                <c:pt idx="0">
                  <c:v>6.4633333333333338</c:v>
                </c:pt>
                <c:pt idx="1">
                  <c:v>6.8966666666666665</c:v>
                </c:pt>
                <c:pt idx="2">
                  <c:v>5.8266666666666671</c:v>
                </c:pt>
                <c:pt idx="3">
                  <c:v>5.49</c:v>
                </c:pt>
              </c:numCache>
            </c:numRef>
          </c:val>
          <c:smooth val="0"/>
          <c:extLst>
            <c:ext xmlns:c16="http://schemas.microsoft.com/office/drawing/2014/chart" uri="{C3380CC4-5D6E-409C-BE32-E72D297353CC}">
              <c16:uniqueId val="{00000000-6503-4415-B671-03ADC45D19EF}"/>
            </c:ext>
          </c:extLst>
        </c:ser>
        <c:dLbls>
          <c:showLegendKey val="0"/>
          <c:showVal val="0"/>
          <c:showCatName val="0"/>
          <c:showSerName val="0"/>
          <c:showPercent val="0"/>
          <c:showBubbleSize val="0"/>
        </c:dLbls>
        <c:marker val="1"/>
        <c:smooth val="0"/>
        <c:axId val="1413629776"/>
        <c:axId val="1413613456"/>
      </c:lineChart>
      <c:catAx>
        <c:axId val="141362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13456"/>
        <c:crosses val="autoZero"/>
        <c:auto val="1"/>
        <c:lblAlgn val="ctr"/>
        <c:lblOffset val="100"/>
        <c:noMultiLvlLbl val="0"/>
      </c:catAx>
      <c:valAx>
        <c:axId val="1413613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62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7</xdr:col>
      <xdr:colOff>343319</xdr:colOff>
      <xdr:row>19</xdr:row>
      <xdr:rowOff>33494</xdr:rowOff>
    </xdr:to>
    <xdr:graphicFrame macro="">
      <xdr:nvGraphicFramePr>
        <xdr:cNvPr id="2" name="Chart 1">
          <a:extLst>
            <a:ext uri="{FF2B5EF4-FFF2-40B4-BE49-F238E27FC236}">
              <a16:creationId xmlns:a16="http://schemas.microsoft.com/office/drawing/2014/main" id="{92AF51F2-AECB-4675-86E2-25FE76825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544285</xdr:colOff>
      <xdr:row>9</xdr:row>
      <xdr:rowOff>0</xdr:rowOff>
    </xdr:from>
    <xdr:to>
      <xdr:col>15</xdr:col>
      <xdr:colOff>393560</xdr:colOff>
      <xdr:row>19</xdr:row>
      <xdr:rowOff>33494</xdr:rowOff>
    </xdr:to>
    <xdr:graphicFrame macro="">
      <xdr:nvGraphicFramePr>
        <xdr:cNvPr id="3" name="Chart 2">
          <a:extLst>
            <a:ext uri="{FF2B5EF4-FFF2-40B4-BE49-F238E27FC236}">
              <a16:creationId xmlns:a16="http://schemas.microsoft.com/office/drawing/2014/main" id="{39397BDB-BC4C-4290-80B5-374AF1F55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20</xdr:row>
      <xdr:rowOff>175847</xdr:rowOff>
    </xdr:from>
    <xdr:to>
      <xdr:col>7</xdr:col>
      <xdr:colOff>368441</xdr:colOff>
      <xdr:row>29</xdr:row>
      <xdr:rowOff>167473</xdr:rowOff>
    </xdr:to>
    <xdr:graphicFrame macro="">
      <xdr:nvGraphicFramePr>
        <xdr:cNvPr id="4" name="Chart 3">
          <a:extLst>
            <a:ext uri="{FF2B5EF4-FFF2-40B4-BE49-F238E27FC236}">
              <a16:creationId xmlns:a16="http://schemas.microsoft.com/office/drawing/2014/main" id="{935C2422-3FCB-44C8-8820-72DD9B13E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117231</xdr:colOff>
      <xdr:row>21</xdr:row>
      <xdr:rowOff>0</xdr:rowOff>
    </xdr:from>
    <xdr:to>
      <xdr:col>15</xdr:col>
      <xdr:colOff>418681</xdr:colOff>
      <xdr:row>30</xdr:row>
      <xdr:rowOff>16748</xdr:rowOff>
    </xdr:to>
    <xdr:graphicFrame macro="">
      <xdr:nvGraphicFramePr>
        <xdr:cNvPr id="5" name="Chart 4">
          <a:extLst>
            <a:ext uri="{FF2B5EF4-FFF2-40B4-BE49-F238E27FC236}">
              <a16:creationId xmlns:a16="http://schemas.microsoft.com/office/drawing/2014/main" id="{85E83E4B-8E9C-406C-900B-25E4F451F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542442</xdr:colOff>
      <xdr:row>32</xdr:row>
      <xdr:rowOff>154983</xdr:rowOff>
    </xdr:from>
    <xdr:to>
      <xdr:col>15</xdr:col>
      <xdr:colOff>426204</xdr:colOff>
      <xdr:row>41</xdr:row>
      <xdr:rowOff>103322</xdr:rowOff>
    </xdr:to>
    <mc:AlternateContent xmlns:mc="http://schemas.openxmlformats.org/markup-compatibility/2006">
      <mc:Choice xmlns:a14="http://schemas.microsoft.com/office/drawing/2010/main" Requires="a14">
        <xdr:graphicFrame macro="">
          <xdr:nvGraphicFramePr>
            <xdr:cNvPr id="6" name="Grade">
              <a:extLst>
                <a:ext uri="{FF2B5EF4-FFF2-40B4-BE49-F238E27FC236}">
                  <a16:creationId xmlns:a16="http://schemas.microsoft.com/office/drawing/2014/main" id="{FB625703-D45A-4408-9D89-88DED85A7BF4}"/>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dr:sp macro="" textlink="">
          <xdr:nvSpPr>
            <xdr:cNvPr id="0" name=""/>
            <xdr:cNvSpPr>
              <a:spLocks noTextEdit="1"/>
            </xdr:cNvSpPr>
          </xdr:nvSpPr>
          <xdr:spPr>
            <a:xfrm>
              <a:off x="5700596" y="6485445"/>
              <a:ext cx="2427670" cy="1636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477865</xdr:colOff>
      <xdr:row>32</xdr:row>
      <xdr:rowOff>167900</xdr:rowOff>
    </xdr:from>
    <xdr:to>
      <xdr:col>10</xdr:col>
      <xdr:colOff>382292</xdr:colOff>
      <xdr:row>41</xdr:row>
      <xdr:rowOff>64578</xdr:rowOff>
    </xdr:to>
    <mc:AlternateContent xmlns:mc="http://schemas.openxmlformats.org/markup-compatibility/2006">
      <mc:Choice xmlns:a14="http://schemas.microsoft.com/office/drawing/2010/main" Requires="a14">
        <xdr:graphicFrame macro="">
          <xdr:nvGraphicFramePr>
            <xdr:cNvPr id="7" name="Course">
              <a:extLst>
                <a:ext uri="{FF2B5EF4-FFF2-40B4-BE49-F238E27FC236}">
                  <a16:creationId xmlns:a16="http://schemas.microsoft.com/office/drawing/2014/main" id="{C90887D7-5798-436E-8FF8-F718A7DDA9F5}"/>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3080388" y="6498362"/>
              <a:ext cx="2460058" cy="1584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607016</xdr:colOff>
      <xdr:row>33</xdr:row>
      <xdr:rowOff>0</xdr:rowOff>
    </xdr:from>
    <xdr:to>
      <xdr:col>5</xdr:col>
      <xdr:colOff>361626</xdr:colOff>
      <xdr:row>41</xdr:row>
      <xdr:rowOff>51661</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E14E71A7-BE1D-4C9A-A79C-74F737B5C03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7016" y="6518031"/>
              <a:ext cx="2357133" cy="1552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burrewar" refreshedDate="46195.671528935185" createdVersion="8" refreshedVersion="8" minRefreshableVersion="3" recordCount="30" xr:uid="{4EEF1B39-EBE0-4F15-AB41-67F144FA3C66}">
  <cacheSource type="worksheet">
    <worksheetSource name="Table1"/>
  </cacheSource>
  <cacheFields count="14">
    <cacheField name="Student_ID" numFmtId="0">
      <sharedItems containsSemiMixedTypes="0" containsString="0" containsNumber="1" containsInteger="1" minValue="1001" maxValue="1030"/>
    </cacheField>
    <cacheField name="Student_Name" numFmtId="0">
      <sharedItems count="30">
        <s v="Rahul"/>
        <s v="Priya"/>
        <s v="Arjun"/>
        <s v="Sneha"/>
        <s v="Kiran"/>
        <s v="Pooja"/>
        <s v="Rohan"/>
        <s v="Kavya"/>
        <s v="Amit"/>
        <s v="Neha"/>
        <s v="Vijay"/>
        <s v="Anjali"/>
        <s v="Deepak"/>
        <s v="Swati"/>
        <s v="Nikhil"/>
        <s v="Asha"/>
        <s v="Suresh"/>
        <s v="Divya"/>
        <s v="Manoj"/>
        <s v="Bhavana"/>
        <s v="Raj"/>
        <s v="Meena"/>
        <s v="Akash"/>
        <s v="Rekha"/>
        <s v="Sanjay"/>
        <s v="Jyoti"/>
        <s v="Tarun"/>
        <s v="Shreya"/>
        <s v="Naveen"/>
        <s v="Ritu"/>
      </sharedItems>
    </cacheField>
    <cacheField name="Gender" numFmtId="0">
      <sharedItems count="2">
        <s v="Male"/>
        <s v="Female"/>
      </sharedItems>
    </cacheField>
    <cacheField name="Course" numFmtId="0">
      <sharedItems count="4">
        <s v="Data Science"/>
        <s v="Python"/>
        <s v="Excel"/>
        <s v="SQL"/>
      </sharedItems>
    </cacheField>
    <cacheField name="Math" numFmtId="0">
      <sharedItems containsSemiMixedTypes="0" containsString="0" containsNumber="1" containsInteger="1" minValue="65" maxValue="95"/>
    </cacheField>
    <cacheField name="Science" numFmtId="0">
      <sharedItems containsSemiMixedTypes="0" containsString="0" containsNumber="1" containsInteger="1" minValue="68" maxValue="97"/>
    </cacheField>
    <cacheField name="English" numFmtId="0">
      <sharedItems containsSemiMixedTypes="0" containsString="0" containsNumber="1" containsInteger="1" minValue="67" maxValue="95"/>
    </cacheField>
    <cacheField name="Attendance_%" numFmtId="0">
      <sharedItems containsSemiMixedTypes="0" containsString="0" containsNumber="1" containsInteger="1" minValue="76" maxValue="99"/>
    </cacheField>
    <cacheField name="total_marks" numFmtId="0">
      <sharedItems containsSemiMixedTypes="0" containsString="0" containsNumber="1" containsInteger="1" minValue="202" maxValue="286"/>
    </cacheField>
    <cacheField name="Average_marks" numFmtId="172">
      <sharedItems containsSemiMixedTypes="0" containsString="0" containsNumber="1" minValue="67.333333333333329" maxValue="95.333333333333329"/>
    </cacheField>
    <cacheField name="Grade" numFmtId="0">
      <sharedItems count="4">
        <s v="A"/>
        <s v="B"/>
        <s v="O"/>
        <s v="C"/>
      </sharedItems>
    </cacheField>
    <cacheField name="Result" numFmtId="0">
      <sharedItems count="1">
        <s v="pass"/>
      </sharedItems>
    </cacheField>
    <cacheField name="marks %" numFmtId="2">
      <sharedItems containsSemiMixedTypes="0" containsString="0" containsNumber="1" minValue="0.67333333333333334" maxValue="0.95333333333333337"/>
    </cacheField>
    <cacheField name="avg attendance" numFmtId="172">
      <sharedItems containsSemiMixedTypes="0" containsString="0" containsNumber="1" minValue="67.333333333333329" maxValue="95.333333333333329"/>
    </cacheField>
  </cacheFields>
  <extLst>
    <ext xmlns:x14="http://schemas.microsoft.com/office/spreadsheetml/2009/9/main" uri="{725AE2AE-9491-48be-B2B4-4EB974FC3084}">
      <x14:pivotCacheDefinition pivotCacheId="1786173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1"/>
    <x v="0"/>
    <x v="0"/>
    <x v="0"/>
    <n v="85"/>
    <n v="90"/>
    <n v="78"/>
    <n v="95"/>
    <n v="253"/>
    <n v="84.333333333333329"/>
    <x v="0"/>
    <x v="0"/>
    <n v="0.84333333333333338"/>
    <n v="84.333333333333329"/>
  </r>
  <r>
    <n v="1002"/>
    <x v="1"/>
    <x v="1"/>
    <x v="0"/>
    <n v="75"/>
    <n v="88"/>
    <n v="92"/>
    <n v="89"/>
    <n v="255"/>
    <n v="85"/>
    <x v="0"/>
    <x v="0"/>
    <n v="0.85"/>
    <n v="85"/>
  </r>
  <r>
    <n v="1003"/>
    <x v="2"/>
    <x v="0"/>
    <x v="1"/>
    <n v="68"/>
    <n v="72"/>
    <n v="70"/>
    <n v="82"/>
    <n v="210"/>
    <n v="70"/>
    <x v="1"/>
    <x v="0"/>
    <n v="0.7"/>
    <n v="70"/>
  </r>
  <r>
    <n v="1004"/>
    <x v="3"/>
    <x v="1"/>
    <x v="1"/>
    <n v="91"/>
    <n v="89"/>
    <n v="94"/>
    <n v="97"/>
    <n v="274"/>
    <n v="91.333333333333329"/>
    <x v="2"/>
    <x v="0"/>
    <n v="0.91333333333333333"/>
    <n v="91.333333333333329"/>
  </r>
  <r>
    <n v="1005"/>
    <x v="4"/>
    <x v="0"/>
    <x v="2"/>
    <n v="76"/>
    <n v="81"/>
    <n v="74"/>
    <n v="85"/>
    <n v="231"/>
    <n v="77"/>
    <x v="1"/>
    <x v="0"/>
    <n v="0.77"/>
    <n v="77"/>
  </r>
  <r>
    <n v="1006"/>
    <x v="5"/>
    <x v="1"/>
    <x v="2"/>
    <n v="88"/>
    <n v="92"/>
    <n v="90"/>
    <n v="93"/>
    <n v="270"/>
    <n v="90"/>
    <x v="2"/>
    <x v="0"/>
    <n v="0.9"/>
    <n v="90"/>
  </r>
  <r>
    <n v="1007"/>
    <x v="6"/>
    <x v="0"/>
    <x v="3"/>
    <n v="65"/>
    <n v="70"/>
    <n v="68"/>
    <n v="78"/>
    <n v="203"/>
    <n v="67.666666666666671"/>
    <x v="3"/>
    <x v="0"/>
    <n v="0.67666666666666664"/>
    <n v="67.666666666666671"/>
  </r>
  <r>
    <n v="1008"/>
    <x v="7"/>
    <x v="1"/>
    <x v="3"/>
    <n v="82"/>
    <n v="85"/>
    <n v="80"/>
    <n v="88"/>
    <n v="247"/>
    <n v="82.333333333333329"/>
    <x v="0"/>
    <x v="0"/>
    <n v="0.82333333333333336"/>
    <n v="82.333333333333329"/>
  </r>
  <r>
    <n v="1009"/>
    <x v="8"/>
    <x v="0"/>
    <x v="0"/>
    <n v="93"/>
    <n v="95"/>
    <n v="91"/>
    <n v="98"/>
    <n v="279"/>
    <n v="93"/>
    <x v="2"/>
    <x v="0"/>
    <n v="0.93"/>
    <n v="93"/>
  </r>
  <r>
    <n v="1010"/>
    <x v="9"/>
    <x v="1"/>
    <x v="1"/>
    <n v="79"/>
    <n v="84"/>
    <n v="81"/>
    <n v="87"/>
    <n v="244"/>
    <n v="81.333333333333329"/>
    <x v="0"/>
    <x v="0"/>
    <n v="0.81333333333333335"/>
    <n v="81.333333333333329"/>
  </r>
  <r>
    <n v="1011"/>
    <x v="10"/>
    <x v="0"/>
    <x v="2"/>
    <n v="72"/>
    <n v="75"/>
    <n v="69"/>
    <n v="80"/>
    <n v="216"/>
    <n v="72"/>
    <x v="1"/>
    <x v="0"/>
    <n v="0.72"/>
    <n v="72"/>
  </r>
  <r>
    <n v="1012"/>
    <x v="11"/>
    <x v="1"/>
    <x v="3"/>
    <n v="90"/>
    <n v="87"/>
    <n v="92"/>
    <n v="96"/>
    <n v="269"/>
    <n v="89.666666666666671"/>
    <x v="0"/>
    <x v="0"/>
    <n v="0.89666666666666661"/>
    <n v="89.666666666666671"/>
  </r>
  <r>
    <n v="1013"/>
    <x v="12"/>
    <x v="0"/>
    <x v="0"/>
    <n v="67"/>
    <n v="71"/>
    <n v="73"/>
    <n v="77"/>
    <n v="211"/>
    <n v="70.333333333333329"/>
    <x v="1"/>
    <x v="0"/>
    <n v="0.70333333333333337"/>
    <n v="70.333333333333329"/>
  </r>
  <r>
    <n v="1014"/>
    <x v="13"/>
    <x v="1"/>
    <x v="2"/>
    <n v="84"/>
    <n v="88"/>
    <n v="86"/>
    <n v="91"/>
    <n v="258"/>
    <n v="86"/>
    <x v="0"/>
    <x v="0"/>
    <n v="0.86"/>
    <n v="86"/>
  </r>
  <r>
    <n v="1015"/>
    <x v="14"/>
    <x v="0"/>
    <x v="1"/>
    <n v="77"/>
    <n v="79"/>
    <n v="75"/>
    <n v="83"/>
    <n v="231"/>
    <n v="77"/>
    <x v="1"/>
    <x v="0"/>
    <n v="0.77"/>
    <n v="77"/>
  </r>
  <r>
    <n v="1016"/>
    <x v="15"/>
    <x v="1"/>
    <x v="3"/>
    <n v="94"/>
    <n v="96"/>
    <n v="95"/>
    <n v="99"/>
    <n v="285"/>
    <n v="95"/>
    <x v="2"/>
    <x v="0"/>
    <n v="0.95"/>
    <n v="95"/>
  </r>
  <r>
    <n v="1017"/>
    <x v="16"/>
    <x v="0"/>
    <x v="0"/>
    <n v="70"/>
    <n v="68"/>
    <n v="72"/>
    <n v="79"/>
    <n v="210"/>
    <n v="70"/>
    <x v="1"/>
    <x v="0"/>
    <n v="0.7"/>
    <n v="70"/>
  </r>
  <r>
    <n v="1018"/>
    <x v="17"/>
    <x v="1"/>
    <x v="2"/>
    <n v="89"/>
    <n v="91"/>
    <n v="87"/>
    <n v="94"/>
    <n v="267"/>
    <n v="89"/>
    <x v="0"/>
    <x v="0"/>
    <n v="0.89"/>
    <n v="89"/>
  </r>
  <r>
    <n v="1019"/>
    <x v="18"/>
    <x v="0"/>
    <x v="3"/>
    <n v="74"/>
    <n v="76"/>
    <n v="78"/>
    <n v="84"/>
    <n v="228"/>
    <n v="76"/>
    <x v="1"/>
    <x v="0"/>
    <n v="0.76"/>
    <n v="76"/>
  </r>
  <r>
    <n v="1020"/>
    <x v="19"/>
    <x v="1"/>
    <x v="1"/>
    <n v="86"/>
    <n v="83"/>
    <n v="88"/>
    <n v="90"/>
    <n v="257"/>
    <n v="85.666666666666671"/>
    <x v="0"/>
    <x v="0"/>
    <n v="0.85666666666666669"/>
    <n v="85.666666666666671"/>
  </r>
  <r>
    <n v="1021"/>
    <x v="20"/>
    <x v="0"/>
    <x v="0"/>
    <n v="81"/>
    <n v="85"/>
    <n v="79"/>
    <n v="86"/>
    <n v="245"/>
    <n v="81.666666666666671"/>
    <x v="0"/>
    <x v="0"/>
    <n v="0.81666666666666665"/>
    <n v="81.666666666666671"/>
  </r>
  <r>
    <n v="1022"/>
    <x v="21"/>
    <x v="1"/>
    <x v="2"/>
    <n v="92"/>
    <n v="94"/>
    <n v="90"/>
    <n v="97"/>
    <n v="276"/>
    <n v="92"/>
    <x v="2"/>
    <x v="0"/>
    <n v="0.92"/>
    <n v="92"/>
  </r>
  <r>
    <n v="1023"/>
    <x v="22"/>
    <x v="0"/>
    <x v="3"/>
    <n v="69"/>
    <n v="73"/>
    <n v="71"/>
    <n v="81"/>
    <n v="213"/>
    <n v="71"/>
    <x v="1"/>
    <x v="0"/>
    <n v="0.71"/>
    <n v="71"/>
  </r>
  <r>
    <n v="1024"/>
    <x v="23"/>
    <x v="1"/>
    <x v="1"/>
    <n v="87"/>
    <n v="89"/>
    <n v="85"/>
    <n v="92"/>
    <n v="261"/>
    <n v="87"/>
    <x v="0"/>
    <x v="0"/>
    <n v="0.87"/>
    <n v="87"/>
  </r>
  <r>
    <n v="1025"/>
    <x v="24"/>
    <x v="0"/>
    <x v="0"/>
    <n v="78"/>
    <n v="80"/>
    <n v="77"/>
    <n v="88"/>
    <n v="235"/>
    <n v="78.333333333333329"/>
    <x v="1"/>
    <x v="0"/>
    <n v="0.78333333333333333"/>
    <n v="78.333333333333329"/>
  </r>
  <r>
    <n v="1026"/>
    <x v="25"/>
    <x v="1"/>
    <x v="2"/>
    <n v="95"/>
    <n v="97"/>
    <n v="94"/>
    <n v="99"/>
    <n v="286"/>
    <n v="95.333333333333329"/>
    <x v="2"/>
    <x v="0"/>
    <n v="0.95333333333333337"/>
    <n v="95.333333333333329"/>
  </r>
  <r>
    <n v="1027"/>
    <x v="26"/>
    <x v="0"/>
    <x v="3"/>
    <n v="66"/>
    <n v="69"/>
    <n v="67"/>
    <n v="76"/>
    <n v="202"/>
    <n v="67.333333333333329"/>
    <x v="3"/>
    <x v="0"/>
    <n v="0.67333333333333334"/>
    <n v="67.333333333333329"/>
  </r>
  <r>
    <n v="1028"/>
    <x v="27"/>
    <x v="1"/>
    <x v="1"/>
    <n v="90"/>
    <n v="92"/>
    <n v="89"/>
    <n v="95"/>
    <n v="271"/>
    <n v="90.333333333333329"/>
    <x v="2"/>
    <x v="0"/>
    <n v="0.90333333333333332"/>
    <n v="90.333333333333329"/>
  </r>
  <r>
    <n v="1029"/>
    <x v="28"/>
    <x v="0"/>
    <x v="0"/>
    <n v="83"/>
    <n v="86"/>
    <n v="82"/>
    <n v="89"/>
    <n v="251"/>
    <n v="83.666666666666671"/>
    <x v="0"/>
    <x v="0"/>
    <n v="0.83666666666666667"/>
    <n v="83.666666666666671"/>
  </r>
  <r>
    <n v="1030"/>
    <x v="29"/>
    <x v="1"/>
    <x v="2"/>
    <n v="88"/>
    <n v="90"/>
    <n v="87"/>
    <n v="93"/>
    <n v="265"/>
    <n v="88.333333333333329"/>
    <x v="0"/>
    <x v="0"/>
    <n v="0.8833333333333333"/>
    <n v="88.333333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D1015E-F579-41EE-8EED-445CCF82A007}"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3:I28" firstHeaderRow="1" firstDataRow="1" firstDataCol="1"/>
  <pivotFields count="14">
    <pivotField showAll="0"/>
    <pivotField dataField="1" showAll="0">
      <items count="31">
        <item x="22"/>
        <item x="8"/>
        <item x="11"/>
        <item x="2"/>
        <item x="15"/>
        <item x="19"/>
        <item x="12"/>
        <item x="17"/>
        <item x="25"/>
        <item x="7"/>
        <item x="4"/>
        <item x="18"/>
        <item x="21"/>
        <item x="28"/>
        <item x="9"/>
        <item x="14"/>
        <item x="5"/>
        <item x="1"/>
        <item x="0"/>
        <item x="20"/>
        <item x="23"/>
        <item x="29"/>
        <item x="6"/>
        <item x="24"/>
        <item x="27"/>
        <item x="3"/>
        <item x="16"/>
        <item x="13"/>
        <item x="26"/>
        <item x="10"/>
        <item t="default"/>
      </items>
    </pivotField>
    <pivotField showAll="0">
      <items count="3">
        <item x="1"/>
        <item x="0"/>
        <item t="default"/>
      </items>
    </pivotField>
    <pivotField showAll="0">
      <items count="5">
        <item x="0"/>
        <item x="2"/>
        <item x="1"/>
        <item x="3"/>
        <item t="default"/>
      </items>
    </pivotField>
    <pivotField showAll="0"/>
    <pivotField showAll="0"/>
    <pivotField showAll="0"/>
    <pivotField showAll="0"/>
    <pivotField showAll="0"/>
    <pivotField numFmtId="172" showAll="0"/>
    <pivotField axis="axisRow" showAll="0">
      <items count="5">
        <item x="0"/>
        <item x="1"/>
        <item x="3"/>
        <item x="2"/>
        <item t="default"/>
      </items>
    </pivotField>
    <pivotField showAll="0"/>
    <pivotField numFmtId="2" showAll="0"/>
    <pivotField numFmtId="172" showAll="0"/>
  </pivotFields>
  <rowFields count="1">
    <field x="10"/>
  </rowFields>
  <rowItems count="5">
    <i>
      <x/>
    </i>
    <i>
      <x v="1"/>
    </i>
    <i>
      <x v="2"/>
    </i>
    <i>
      <x v="3"/>
    </i>
    <i t="grand">
      <x/>
    </i>
  </rowItems>
  <colItems count="1">
    <i/>
  </colItems>
  <dataFields count="1">
    <dataField name="Count of Student_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517E2-751E-4BC8-A777-E09BB8F658D1}"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3:F28" firstHeaderRow="1" firstDataRow="1" firstDataCol="1"/>
  <pivotFields count="14">
    <pivotField showAll="0"/>
    <pivotField showAll="0"/>
    <pivotField showAll="0">
      <items count="3">
        <item x="1"/>
        <item x="0"/>
        <item t="default"/>
      </items>
    </pivotField>
    <pivotField axis="axisRow" showAll="0">
      <items count="5">
        <item x="0"/>
        <item x="2"/>
        <item x="1"/>
        <item x="3"/>
        <item t="default"/>
      </items>
    </pivotField>
    <pivotField showAll="0"/>
    <pivotField showAll="0"/>
    <pivotField showAll="0"/>
    <pivotField showAll="0"/>
    <pivotField showAll="0"/>
    <pivotField numFmtId="172" showAll="0"/>
    <pivotField showAll="0">
      <items count="5">
        <item x="0"/>
        <item x="1"/>
        <item x="3"/>
        <item x="2"/>
        <item t="default"/>
      </items>
    </pivotField>
    <pivotField showAll="0"/>
    <pivotField dataField="1" numFmtId="2" showAll="0"/>
    <pivotField numFmtId="172" showAll="0"/>
  </pivotFields>
  <rowFields count="1">
    <field x="3"/>
  </rowFields>
  <rowItems count="5">
    <i>
      <x/>
    </i>
    <i>
      <x v="1"/>
    </i>
    <i>
      <x v="2"/>
    </i>
    <i>
      <x v="3"/>
    </i>
    <i t="grand">
      <x/>
    </i>
  </rowItems>
  <colItems count="1">
    <i/>
  </colItems>
  <dataFields count="1">
    <dataField name="Sum of marks %" fld="12"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52CCC-21CF-49AF-8B4E-2371572EDD14}"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34" firstHeaderRow="1" firstDataRow="1" firstDataCol="1"/>
  <pivotFields count="14">
    <pivotField showAll="0"/>
    <pivotField axis="axisRow" showAll="0" measureFilter="1" sortType="descending">
      <items count="31">
        <item x="22"/>
        <item x="8"/>
        <item x="11"/>
        <item x="2"/>
        <item x="15"/>
        <item x="19"/>
        <item x="12"/>
        <item x="17"/>
        <item x="25"/>
        <item x="7"/>
        <item x="4"/>
        <item x="18"/>
        <item x="21"/>
        <item x="28"/>
        <item x="9"/>
        <item x="14"/>
        <item x="5"/>
        <item x="1"/>
        <item x="0"/>
        <item x="20"/>
        <item x="23"/>
        <item x="29"/>
        <item x="6"/>
        <item x="24"/>
        <item x="27"/>
        <item x="3"/>
        <item x="16"/>
        <item x="13"/>
        <item x="26"/>
        <item x="1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5">
        <item x="0"/>
        <item x="2"/>
        <item x="1"/>
        <item x="3"/>
        <item t="default"/>
      </items>
    </pivotField>
    <pivotField showAll="0"/>
    <pivotField showAll="0"/>
    <pivotField showAll="0"/>
    <pivotField showAll="0"/>
    <pivotField dataField="1" showAll="0"/>
    <pivotField numFmtId="172" showAll="0"/>
    <pivotField showAll="0">
      <items count="5">
        <item x="0"/>
        <item x="1"/>
        <item x="3"/>
        <item x="2"/>
        <item t="default"/>
      </items>
    </pivotField>
    <pivotField showAll="0"/>
    <pivotField numFmtId="2" showAll="0"/>
    <pivotField numFmtId="172" showAll="0"/>
  </pivotFields>
  <rowFields count="1">
    <field x="1"/>
  </rowFields>
  <rowItems count="11">
    <i>
      <x v="8"/>
    </i>
    <i>
      <x v="4"/>
    </i>
    <i>
      <x v="1"/>
    </i>
    <i>
      <x v="12"/>
    </i>
    <i>
      <x v="25"/>
    </i>
    <i>
      <x v="24"/>
    </i>
    <i>
      <x v="16"/>
    </i>
    <i>
      <x v="2"/>
    </i>
    <i>
      <x v="7"/>
    </i>
    <i>
      <x v="21"/>
    </i>
    <i t="grand">
      <x/>
    </i>
  </rowItems>
  <colItems count="1">
    <i/>
  </colItems>
  <dataFields count="1">
    <dataField name="Sum of total_marks" fld="8"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AE2420-F201-4F54-8A98-3C2591343A99}" name="PivotTable6" cacheId="3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4:F16" firstHeaderRow="1" firstDataRow="1" firstDataCol="1"/>
  <pivotFields count="14">
    <pivotField showAll="0"/>
    <pivotField showAll="0"/>
    <pivotField showAll="0">
      <items count="3">
        <item x="1"/>
        <item x="0"/>
        <item t="default"/>
      </items>
    </pivotField>
    <pivotField showAll="0">
      <items count="5">
        <item x="0"/>
        <item x="2"/>
        <item x="1"/>
        <item x="3"/>
        <item t="default"/>
      </items>
    </pivotField>
    <pivotField showAll="0"/>
    <pivotField showAll="0"/>
    <pivotField showAll="0"/>
    <pivotField showAll="0"/>
    <pivotField showAll="0"/>
    <pivotField numFmtId="172" showAll="0"/>
    <pivotField showAll="0">
      <items count="5">
        <item x="0"/>
        <item x="1"/>
        <item x="3"/>
        <item x="2"/>
        <item t="default"/>
      </items>
    </pivotField>
    <pivotField axis="axisRow" dataField="1" showAll="0">
      <items count="2">
        <item x="0"/>
        <item t="default"/>
      </items>
    </pivotField>
    <pivotField numFmtId="2" showAll="0"/>
    <pivotField numFmtId="172" showAll="0"/>
  </pivotFields>
  <rowFields count="1">
    <field x="11"/>
  </rowFields>
  <rowItems count="2">
    <i>
      <x/>
    </i>
    <i t="grand">
      <x/>
    </i>
  </rowItems>
  <colItems count="1">
    <i/>
  </colItems>
  <dataFields count="1">
    <dataField name="Count of Resul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B44110-6A8D-4616-A2E5-72A9A472960A}"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9" firstHeaderRow="1" firstDataRow="1" firstDataCol="1"/>
  <pivotFields count="14">
    <pivotField showAll="0"/>
    <pivotField showAll="0"/>
    <pivotField showAll="0">
      <items count="3">
        <item x="1"/>
        <item x="0"/>
        <item t="default"/>
      </items>
    </pivotField>
    <pivotField axis="axisRow" showAll="0">
      <items count="5">
        <item x="0"/>
        <item x="2"/>
        <item x="1"/>
        <item x="3"/>
        <item t="default"/>
      </items>
    </pivotField>
    <pivotField showAll="0"/>
    <pivotField showAll="0"/>
    <pivotField showAll="0"/>
    <pivotField showAll="0"/>
    <pivotField showAll="0"/>
    <pivotField dataField="1" numFmtId="172" showAll="0"/>
    <pivotField showAll="0">
      <items count="5">
        <item x="0"/>
        <item x="1"/>
        <item x="3"/>
        <item x="2"/>
        <item t="default"/>
      </items>
    </pivotField>
    <pivotField showAll="0"/>
    <pivotField numFmtId="2" showAll="0"/>
    <pivotField numFmtId="172" showAll="0"/>
  </pivotFields>
  <rowFields count="1">
    <field x="3"/>
  </rowFields>
  <rowItems count="5">
    <i>
      <x/>
    </i>
    <i>
      <x v="1"/>
    </i>
    <i>
      <x v="2"/>
    </i>
    <i>
      <x v="3"/>
    </i>
    <i t="grand">
      <x/>
    </i>
  </rowItems>
  <colItems count="1">
    <i/>
  </colItems>
  <dataFields count="1">
    <dataField name="Sum of Average_marks" fld="9" baseField="0"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84103-2E46-4675-B65F-5FDD6242D186}"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5:F8" firstHeaderRow="1" firstDataRow="1" firstDataCol="1"/>
  <pivotFields count="14">
    <pivotField showAll="0"/>
    <pivotField dataField="1" showAll="0"/>
    <pivotField axis="axisRow" showAll="0">
      <items count="3">
        <item x="1"/>
        <item x="0"/>
        <item t="default"/>
      </items>
    </pivotField>
    <pivotField showAll="0">
      <items count="5">
        <item x="0"/>
        <item x="2"/>
        <item x="1"/>
        <item x="3"/>
        <item t="default"/>
      </items>
    </pivotField>
    <pivotField showAll="0"/>
    <pivotField showAll="0"/>
    <pivotField showAll="0"/>
    <pivotField showAll="0"/>
    <pivotField showAll="0"/>
    <pivotField numFmtId="172" showAll="0"/>
    <pivotField showAll="0">
      <items count="5">
        <item x="0"/>
        <item x="1"/>
        <item x="3"/>
        <item x="2"/>
        <item t="default"/>
      </items>
    </pivotField>
    <pivotField showAll="0"/>
    <pivotField numFmtId="2" showAll="0"/>
    <pivotField numFmtId="172" showAll="0"/>
  </pivotFields>
  <rowFields count="1">
    <field x="2"/>
  </rowFields>
  <rowItems count="3">
    <i>
      <x/>
    </i>
    <i>
      <x v="1"/>
    </i>
    <i t="grand">
      <x/>
    </i>
  </rowItems>
  <colItems count="1">
    <i/>
  </colItems>
  <dataFields count="1">
    <dataField name="Count of Student_Name"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E66287-949B-4B80-9309-C4B65E4D5FC6}"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10" firstHeaderRow="1" firstDataRow="1" firstDataCol="1"/>
  <pivotFields count="14">
    <pivotField showAll="0"/>
    <pivotField dataField="1" showAll="0"/>
    <pivotField showAll="0">
      <items count="3">
        <item x="1"/>
        <item x="0"/>
        <item t="default"/>
      </items>
    </pivotField>
    <pivotField axis="axisRow" showAll="0">
      <items count="5">
        <item x="0"/>
        <item x="2"/>
        <item x="1"/>
        <item x="3"/>
        <item t="default"/>
      </items>
    </pivotField>
    <pivotField showAll="0"/>
    <pivotField showAll="0"/>
    <pivotField showAll="0"/>
    <pivotField showAll="0"/>
    <pivotField showAll="0"/>
    <pivotField numFmtId="172" showAll="0"/>
    <pivotField showAll="0">
      <items count="5">
        <item x="0"/>
        <item x="1"/>
        <item x="3"/>
        <item x="2"/>
        <item t="default"/>
      </items>
    </pivotField>
    <pivotField showAll="0"/>
    <pivotField numFmtId="2" showAll="0"/>
    <pivotField numFmtId="172" showAll="0"/>
  </pivotFields>
  <rowFields count="1">
    <field x="3"/>
  </rowFields>
  <rowItems count="5">
    <i>
      <x/>
    </i>
    <i>
      <x v="1"/>
    </i>
    <i>
      <x v="2"/>
    </i>
    <i>
      <x v="3"/>
    </i>
    <i t="grand">
      <x/>
    </i>
  </rowItems>
  <colItems count="1">
    <i/>
  </colItems>
  <dataFields count="1">
    <dataField name="Count of Student_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64A940C9-5641-4E0F-9848-1B6C8476D4BD}" sourceName="Grade">
  <pivotTables>
    <pivotTable tabId="2" name="PivotTable8"/>
    <pivotTable tabId="2" name="PivotTable1"/>
    <pivotTable tabId="2" name="PivotTable13"/>
    <pivotTable tabId="2" name="PivotTable14"/>
    <pivotTable tabId="2" name="PivotTable2"/>
    <pivotTable tabId="2" name="PivotTable3"/>
    <pivotTable tabId="2" name="PivotTable6"/>
  </pivotTables>
  <data>
    <tabular pivotCacheId="1786173970">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A54DCAC7-76A9-4484-AF16-E2F239A8F481}" sourceName="Course">
  <pivotTables>
    <pivotTable tabId="2" name="PivotTable8"/>
    <pivotTable tabId="2" name="PivotTable1"/>
    <pivotTable tabId="2" name="PivotTable13"/>
    <pivotTable tabId="2" name="PivotTable14"/>
    <pivotTable tabId="2" name="PivotTable2"/>
    <pivotTable tabId="2" name="PivotTable3"/>
    <pivotTable tabId="2" name="PivotTable6"/>
  </pivotTables>
  <data>
    <tabular pivotCacheId="1786173970">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24A6C9-995B-49BA-AEAA-76D3C1354160}" sourceName="Gender">
  <pivotTables>
    <pivotTable tabId="2" name="PivotTable1"/>
    <pivotTable tabId="2" name="PivotTable13"/>
    <pivotTable tabId="2" name="PivotTable14"/>
    <pivotTable tabId="2" name="PivotTable2"/>
    <pivotTable tabId="2" name="PivotTable3"/>
    <pivotTable tabId="2" name="PivotTable6"/>
  </pivotTables>
  <data>
    <tabular pivotCacheId="178617397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734C9770-D386-4BF3-A33D-D1161B157D31}" cache="Slicer_Grade" caption="Grade" rowHeight="234950"/>
  <slicer name="Course" xr10:uid="{C3F4F377-E66E-4FD2-A8F9-8D0C68F1B3B7}" cache="Slicer_Course" caption="Course" rowHeight="234950"/>
  <slicer name="Gender" xr10:uid="{6ADC7081-18ED-4151-8892-3AB4D30F3E75}"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DB611-7876-41B8-9DDA-4A07566EB2F3}" name="Table1" displayName="Table1" ref="A1:N31" totalsRowShown="0" headerRowDxfId="6" dataDxfId="7">
  <autoFilter ref="A1:N31" xr:uid="{78CDB611-7876-41B8-9DDA-4A07566EB2F3}"/>
  <tableColumns count="14">
    <tableColumn id="1" xr3:uid="{CEAA007A-8159-495A-9376-B6D73A6058B8}" name="Student_ID" dataDxfId="15"/>
    <tableColumn id="2" xr3:uid="{BDBDA7EA-3C97-4167-A398-8B8F4C6DF9D7}" name="Student_Name" dataDxfId="14"/>
    <tableColumn id="3" xr3:uid="{3157ADA0-56C7-4469-946A-47A1068AA772}" name="Gender" dataDxfId="13"/>
    <tableColumn id="4" xr3:uid="{17D8DD10-85CC-4DC5-B82F-A2FEFCB0B411}" name="Course" dataDxfId="12"/>
    <tableColumn id="5" xr3:uid="{5FF4225F-3C33-4799-A778-3AA97D4114DE}" name="Math" dataDxfId="11"/>
    <tableColumn id="6" xr3:uid="{91E5AC5B-CECF-42C3-B4AE-D7897F0853B1}" name="Science" dataDxfId="10"/>
    <tableColumn id="7" xr3:uid="{432B13D7-39E7-4BCE-A38C-947ABD0563C3}" name="English" dataDxfId="9"/>
    <tableColumn id="8" xr3:uid="{2725B83A-E8CB-443A-8AE0-856B899ACAB2}" name="Attendance_%" dataDxfId="8"/>
    <tableColumn id="9" xr3:uid="{9683D54B-7C49-454A-9469-28990BF3DA79}" name="total_marks" dataDxfId="5">
      <calculatedColumnFormula>SUM(Table1[[#This Row],[Math]:[English]])</calculatedColumnFormula>
    </tableColumn>
    <tableColumn id="10" xr3:uid="{AC99BA9C-657C-4A97-A27B-860CB4815735}" name="Average_marks" dataDxfId="4">
      <calculatedColumnFormula>AVERAGE(Table1[[#This Row],[Math]:[English]])</calculatedColumnFormula>
    </tableColumn>
    <tableColumn id="11" xr3:uid="{A0076B26-EBC6-42BC-B52F-FA2F72441E5D}" name="Grade" dataDxfId="3">
      <calculatedColumnFormula>IF(Table1[[#This Row],[Average_marks]]&gt;=90, "O", IF(Table1[[#This Row],[Average_marks]]&gt;=80, "A", IF(Table1[[#This Row],[Average_marks]]&gt;=70, "B", IF(Table1[[#This Row],[Average_marks]]&gt;=60, "C", "fail"))))</calculatedColumnFormula>
    </tableColumn>
    <tableColumn id="12" xr3:uid="{93549057-10E0-48E1-B716-743A53742295}" name="Result" dataDxfId="2">
      <calculatedColumnFormula>IF(Table1[[#This Row],[Average_marks]]&gt;40, "pass","fail")</calculatedColumnFormula>
    </tableColumn>
    <tableColumn id="13" xr3:uid="{B7412E0E-1C66-4575-81D6-3465F4A4CCC5}" name="marks %" dataDxfId="1">
      <calculatedColumnFormula>Table1[[#This Row],[total_marks]]/300</calculatedColumnFormula>
    </tableColumn>
    <tableColumn id="14" xr3:uid="{6F8DD56C-2C36-4597-A5B7-1FA1FCA03EF8}" name="avg attendance" dataDxfId="0">
      <calculatedColumnFormula>AVERAGE(Table1[[#This Row],[Average_marks]])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2152-4EE8-4FFC-B03F-B7FF32458FD3}">
  <dimension ref="A1:N43"/>
  <sheetViews>
    <sheetView tabSelected="1" zoomScale="65" workbookViewId="0">
      <selection activeCell="F42" sqref="F42"/>
    </sheetView>
  </sheetViews>
  <sheetFormatPr defaultRowHeight="14.4" x14ac:dyDescent="0.3"/>
  <cols>
    <col min="1" max="1" width="18.77734375" bestFit="1" customWidth="1"/>
    <col min="2" max="2" width="15.5546875" customWidth="1"/>
    <col min="3" max="3" width="9" customWidth="1"/>
    <col min="4" max="4" width="11.44140625" customWidth="1"/>
    <col min="6" max="6" width="9.21875" customWidth="1"/>
    <col min="8" max="8" width="10.33203125" customWidth="1"/>
    <col min="9" max="9" width="7.77734375" customWidth="1"/>
    <col min="10" max="10" width="9.33203125" customWidth="1"/>
    <col min="13" max="13" width="11.88671875" bestFit="1" customWidth="1"/>
    <col min="14" max="14" width="12.33203125" bestFit="1" customWidth="1"/>
  </cols>
  <sheetData>
    <row r="1" spans="1:14" ht="43.2" x14ac:dyDescent="0.3">
      <c r="A1" s="2" t="s">
        <v>0</v>
      </c>
      <c r="B1" s="2" t="s">
        <v>1</v>
      </c>
      <c r="C1" s="2" t="s">
        <v>2</v>
      </c>
      <c r="D1" s="2" t="s">
        <v>3</v>
      </c>
      <c r="E1" s="2" t="s">
        <v>4</v>
      </c>
      <c r="F1" s="2" t="s">
        <v>5</v>
      </c>
      <c r="G1" s="2" t="s">
        <v>6</v>
      </c>
      <c r="H1" s="2" t="s">
        <v>7</v>
      </c>
      <c r="I1" s="2" t="s">
        <v>44</v>
      </c>
      <c r="J1" s="2" t="s">
        <v>45</v>
      </c>
      <c r="K1" s="2" t="s">
        <v>46</v>
      </c>
      <c r="L1" s="2" t="s">
        <v>66</v>
      </c>
      <c r="M1" s="2" t="s">
        <v>67</v>
      </c>
      <c r="N1" s="2" t="s">
        <v>71</v>
      </c>
    </row>
    <row r="2" spans="1:14" x14ac:dyDescent="0.3">
      <c r="A2" s="3">
        <v>1001</v>
      </c>
      <c r="B2" s="3" t="s">
        <v>8</v>
      </c>
      <c r="C2" s="3" t="s">
        <v>9</v>
      </c>
      <c r="D2" s="3" t="s">
        <v>10</v>
      </c>
      <c r="E2" s="3">
        <v>85</v>
      </c>
      <c r="F2" s="3">
        <v>90</v>
      </c>
      <c r="G2" s="3">
        <v>78</v>
      </c>
      <c r="H2" s="3">
        <v>95</v>
      </c>
      <c r="I2" s="3">
        <f>SUM(Table1[[#This Row],[Math]:[English]])</f>
        <v>253</v>
      </c>
      <c r="J2" s="5">
        <f>AVERAGE(Table1[[#This Row],[Math]:[English]])</f>
        <v>84.333333333333329</v>
      </c>
      <c r="K2" s="1" t="str">
        <f>IF(Table1[[#This Row],[Average_marks]]&gt;=90, "O", IF(Table1[[#This Row],[Average_marks]]&gt;=80, "A", IF(Table1[[#This Row],[Average_marks]]&gt;=70, "B", IF(Table1[[#This Row],[Average_marks]]&gt;=60, "C", "fail"))))</f>
        <v>A</v>
      </c>
      <c r="L2" s="3" t="str">
        <f>IF(Table1[[#This Row],[Average_marks]]&gt;40, "pass","fail")</f>
        <v>pass</v>
      </c>
      <c r="M2" s="4">
        <f>Table1[[#This Row],[total_marks]]/300</f>
        <v>0.84333333333333338</v>
      </c>
      <c r="N2" s="5">
        <f>AVERAGE(Table1[[#This Row],[Average_marks]])</f>
        <v>84.333333333333329</v>
      </c>
    </row>
    <row r="3" spans="1:14" x14ac:dyDescent="0.3">
      <c r="A3" s="3">
        <v>1002</v>
      </c>
      <c r="B3" s="3" t="s">
        <v>11</v>
      </c>
      <c r="C3" s="3" t="s">
        <v>12</v>
      </c>
      <c r="D3" s="3" t="s">
        <v>10</v>
      </c>
      <c r="E3" s="3">
        <v>75</v>
      </c>
      <c r="F3" s="3">
        <v>88</v>
      </c>
      <c r="G3" s="3">
        <v>92</v>
      </c>
      <c r="H3" s="3">
        <v>89</v>
      </c>
      <c r="I3" s="3">
        <f>SUM(Table1[[#This Row],[Math]:[English]])</f>
        <v>255</v>
      </c>
      <c r="J3" s="5">
        <f>AVERAGE(Table1[[#This Row],[Math]:[English]])</f>
        <v>85</v>
      </c>
      <c r="K3" s="1" t="str">
        <f>IF(Table1[[#This Row],[Average_marks]]&gt;=90, "O", IF(Table1[[#This Row],[Average_marks]]&gt;=80, "A", IF(Table1[[#This Row],[Average_marks]]&gt;=70, "B", IF(Table1[[#This Row],[Average_marks]]&gt;=60, "C", "fail"))))</f>
        <v>A</v>
      </c>
      <c r="L3" s="3" t="str">
        <f>IF(Table1[[#This Row],[Average_marks]]&gt;40, "pass","fail")</f>
        <v>pass</v>
      </c>
      <c r="M3" s="4">
        <f>Table1[[#This Row],[total_marks]]/300</f>
        <v>0.85</v>
      </c>
      <c r="N3" s="5">
        <f>AVERAGE(Table1[[#This Row],[Average_marks]])</f>
        <v>85</v>
      </c>
    </row>
    <row r="4" spans="1:14" x14ac:dyDescent="0.3">
      <c r="A4" s="3">
        <v>1003</v>
      </c>
      <c r="B4" s="3" t="s">
        <v>13</v>
      </c>
      <c r="C4" s="3" t="s">
        <v>9</v>
      </c>
      <c r="D4" s="3" t="s">
        <v>14</v>
      </c>
      <c r="E4" s="3">
        <v>68</v>
      </c>
      <c r="F4" s="3">
        <v>72</v>
      </c>
      <c r="G4" s="3">
        <v>70</v>
      </c>
      <c r="H4" s="3">
        <v>82</v>
      </c>
      <c r="I4" s="3">
        <f>SUM(Table1[[#This Row],[Math]:[English]])</f>
        <v>210</v>
      </c>
      <c r="J4" s="5">
        <f>AVERAGE(Table1[[#This Row],[Math]:[English]])</f>
        <v>70</v>
      </c>
      <c r="K4" s="1" t="str">
        <f>IF(Table1[[#This Row],[Average_marks]]&gt;=90, "O", IF(Table1[[#This Row],[Average_marks]]&gt;=80, "A", IF(Table1[[#This Row],[Average_marks]]&gt;=70, "B", IF(Table1[[#This Row],[Average_marks]]&gt;=60, "C", "fail"))))</f>
        <v>B</v>
      </c>
      <c r="L4" s="3" t="str">
        <f>IF(Table1[[#This Row],[Average_marks]]&gt;40, "pass","fail")</f>
        <v>pass</v>
      </c>
      <c r="M4" s="4">
        <f>Table1[[#This Row],[total_marks]]/300</f>
        <v>0.7</v>
      </c>
      <c r="N4" s="5">
        <f>AVERAGE(Table1[[#This Row],[Average_marks]])</f>
        <v>70</v>
      </c>
    </row>
    <row r="5" spans="1:14" x14ac:dyDescent="0.3">
      <c r="A5" s="3">
        <v>1004</v>
      </c>
      <c r="B5" s="3" t="s">
        <v>15</v>
      </c>
      <c r="C5" s="3" t="s">
        <v>12</v>
      </c>
      <c r="D5" s="3" t="s">
        <v>14</v>
      </c>
      <c r="E5" s="3">
        <v>91</v>
      </c>
      <c r="F5" s="3">
        <v>89</v>
      </c>
      <c r="G5" s="3">
        <v>94</v>
      </c>
      <c r="H5" s="3">
        <v>97</v>
      </c>
      <c r="I5" s="3">
        <f>SUM(Table1[[#This Row],[Math]:[English]])</f>
        <v>274</v>
      </c>
      <c r="J5" s="5">
        <f>AVERAGE(Table1[[#This Row],[Math]:[English]])</f>
        <v>91.333333333333329</v>
      </c>
      <c r="K5" s="1" t="str">
        <f>IF(Table1[[#This Row],[Average_marks]]&gt;=90, "O", IF(Table1[[#This Row],[Average_marks]]&gt;=80, "A", IF(Table1[[#This Row],[Average_marks]]&gt;=70, "B", IF(Table1[[#This Row],[Average_marks]]&gt;=60, "C", "fail"))))</f>
        <v>O</v>
      </c>
      <c r="L5" s="3" t="str">
        <f>IF(Table1[[#This Row],[Average_marks]]&gt;40, "pass","fail")</f>
        <v>pass</v>
      </c>
      <c r="M5" s="4">
        <f>Table1[[#This Row],[total_marks]]/300</f>
        <v>0.91333333333333333</v>
      </c>
      <c r="N5" s="5">
        <f>AVERAGE(Table1[[#This Row],[Average_marks]])</f>
        <v>91.333333333333329</v>
      </c>
    </row>
    <row r="6" spans="1:14" x14ac:dyDescent="0.3">
      <c r="A6" s="3">
        <v>1005</v>
      </c>
      <c r="B6" s="3" t="s">
        <v>16</v>
      </c>
      <c r="C6" s="3" t="s">
        <v>9</v>
      </c>
      <c r="D6" s="3" t="s">
        <v>17</v>
      </c>
      <c r="E6" s="3">
        <v>76</v>
      </c>
      <c r="F6" s="3">
        <v>81</v>
      </c>
      <c r="G6" s="3">
        <v>74</v>
      </c>
      <c r="H6" s="3">
        <v>85</v>
      </c>
      <c r="I6" s="3">
        <f>SUM(Table1[[#This Row],[Math]:[English]])</f>
        <v>231</v>
      </c>
      <c r="J6" s="5">
        <f>AVERAGE(Table1[[#This Row],[Math]:[English]])</f>
        <v>77</v>
      </c>
      <c r="K6" s="1" t="str">
        <f>IF(Table1[[#This Row],[Average_marks]]&gt;=90, "O", IF(Table1[[#This Row],[Average_marks]]&gt;=80, "A", IF(Table1[[#This Row],[Average_marks]]&gt;=70, "B", IF(Table1[[#This Row],[Average_marks]]&gt;=60, "C", "fail"))))</f>
        <v>B</v>
      </c>
      <c r="L6" s="3" t="str">
        <f>IF(Table1[[#This Row],[Average_marks]]&gt;40, "pass","fail")</f>
        <v>pass</v>
      </c>
      <c r="M6" s="4">
        <f>Table1[[#This Row],[total_marks]]/300</f>
        <v>0.77</v>
      </c>
      <c r="N6" s="5">
        <f>AVERAGE(Table1[[#This Row],[Average_marks]])</f>
        <v>77</v>
      </c>
    </row>
    <row r="7" spans="1:14" x14ac:dyDescent="0.3">
      <c r="A7" s="3">
        <v>1006</v>
      </c>
      <c r="B7" s="3" t="s">
        <v>18</v>
      </c>
      <c r="C7" s="3" t="s">
        <v>12</v>
      </c>
      <c r="D7" s="3" t="s">
        <v>17</v>
      </c>
      <c r="E7" s="3">
        <v>88</v>
      </c>
      <c r="F7" s="3">
        <v>92</v>
      </c>
      <c r="G7" s="3">
        <v>90</v>
      </c>
      <c r="H7" s="3">
        <v>93</v>
      </c>
      <c r="I7" s="3">
        <f>SUM(Table1[[#This Row],[Math]:[English]])</f>
        <v>270</v>
      </c>
      <c r="J7" s="5">
        <f>AVERAGE(Table1[[#This Row],[Math]:[English]])</f>
        <v>90</v>
      </c>
      <c r="K7" s="1" t="str">
        <f>IF(Table1[[#This Row],[Average_marks]]&gt;=90, "O", IF(Table1[[#This Row],[Average_marks]]&gt;=80, "A", IF(Table1[[#This Row],[Average_marks]]&gt;=70, "B", IF(Table1[[#This Row],[Average_marks]]&gt;=60, "C", "fail"))))</f>
        <v>O</v>
      </c>
      <c r="L7" s="3" t="str">
        <f>IF(Table1[[#This Row],[Average_marks]]&gt;40, "pass","fail")</f>
        <v>pass</v>
      </c>
      <c r="M7" s="4">
        <f>Table1[[#This Row],[total_marks]]/300</f>
        <v>0.9</v>
      </c>
      <c r="N7" s="5">
        <f>AVERAGE(Table1[[#This Row],[Average_marks]])</f>
        <v>90</v>
      </c>
    </row>
    <row r="8" spans="1:14" x14ac:dyDescent="0.3">
      <c r="A8" s="3">
        <v>1007</v>
      </c>
      <c r="B8" s="3" t="s">
        <v>19</v>
      </c>
      <c r="C8" s="3" t="s">
        <v>9</v>
      </c>
      <c r="D8" s="3" t="s">
        <v>20</v>
      </c>
      <c r="E8" s="3">
        <v>65</v>
      </c>
      <c r="F8" s="3">
        <v>70</v>
      </c>
      <c r="G8" s="3">
        <v>68</v>
      </c>
      <c r="H8" s="3">
        <v>78</v>
      </c>
      <c r="I8" s="3">
        <f>SUM(Table1[[#This Row],[Math]:[English]])</f>
        <v>203</v>
      </c>
      <c r="J8" s="5">
        <f>AVERAGE(Table1[[#This Row],[Math]:[English]])</f>
        <v>67.666666666666671</v>
      </c>
      <c r="K8" s="1" t="str">
        <f>IF(Table1[[#This Row],[Average_marks]]&gt;=90, "O", IF(Table1[[#This Row],[Average_marks]]&gt;=80, "A", IF(Table1[[#This Row],[Average_marks]]&gt;=70, "B", IF(Table1[[#This Row],[Average_marks]]&gt;=60, "C", "fail"))))</f>
        <v>C</v>
      </c>
      <c r="L8" s="3" t="str">
        <f>IF(Table1[[#This Row],[Average_marks]]&gt;40, "pass","fail")</f>
        <v>pass</v>
      </c>
      <c r="M8" s="4">
        <f>Table1[[#This Row],[total_marks]]/300</f>
        <v>0.67666666666666664</v>
      </c>
      <c r="N8" s="5">
        <f>AVERAGE(Table1[[#This Row],[Average_marks]])</f>
        <v>67.666666666666671</v>
      </c>
    </row>
    <row r="9" spans="1:14" x14ac:dyDescent="0.3">
      <c r="A9" s="3">
        <v>1008</v>
      </c>
      <c r="B9" s="3" t="s">
        <v>21</v>
      </c>
      <c r="C9" s="3" t="s">
        <v>12</v>
      </c>
      <c r="D9" s="3" t="s">
        <v>20</v>
      </c>
      <c r="E9" s="3">
        <v>82</v>
      </c>
      <c r="F9" s="3">
        <v>85</v>
      </c>
      <c r="G9" s="3">
        <v>80</v>
      </c>
      <c r="H9" s="3">
        <v>88</v>
      </c>
      <c r="I9" s="3">
        <f>SUM(Table1[[#This Row],[Math]:[English]])</f>
        <v>247</v>
      </c>
      <c r="J9" s="5">
        <f>AVERAGE(Table1[[#This Row],[Math]:[English]])</f>
        <v>82.333333333333329</v>
      </c>
      <c r="K9" s="1" t="str">
        <f>IF(Table1[[#This Row],[Average_marks]]&gt;=90, "O", IF(Table1[[#This Row],[Average_marks]]&gt;=80, "A", IF(Table1[[#This Row],[Average_marks]]&gt;=70, "B", IF(Table1[[#This Row],[Average_marks]]&gt;=60, "C", "fail"))))</f>
        <v>A</v>
      </c>
      <c r="L9" s="3" t="str">
        <f>IF(Table1[[#This Row],[Average_marks]]&gt;40, "pass","fail")</f>
        <v>pass</v>
      </c>
      <c r="M9" s="4">
        <f>Table1[[#This Row],[total_marks]]/300</f>
        <v>0.82333333333333336</v>
      </c>
      <c r="N9" s="5">
        <f>AVERAGE(Table1[[#This Row],[Average_marks]])</f>
        <v>82.333333333333329</v>
      </c>
    </row>
    <row r="10" spans="1:14" x14ac:dyDescent="0.3">
      <c r="A10" s="3">
        <v>1009</v>
      </c>
      <c r="B10" s="3" t="s">
        <v>22</v>
      </c>
      <c r="C10" s="3" t="s">
        <v>9</v>
      </c>
      <c r="D10" s="3" t="s">
        <v>10</v>
      </c>
      <c r="E10" s="3">
        <v>93</v>
      </c>
      <c r="F10" s="3">
        <v>95</v>
      </c>
      <c r="G10" s="3">
        <v>91</v>
      </c>
      <c r="H10" s="3">
        <v>98</v>
      </c>
      <c r="I10" s="3">
        <f>SUM(Table1[[#This Row],[Math]:[English]])</f>
        <v>279</v>
      </c>
      <c r="J10" s="5">
        <f>AVERAGE(Table1[[#This Row],[Math]:[English]])</f>
        <v>93</v>
      </c>
      <c r="K10" s="1" t="str">
        <f>IF(Table1[[#This Row],[Average_marks]]&gt;=90, "O", IF(Table1[[#This Row],[Average_marks]]&gt;=80, "A", IF(Table1[[#This Row],[Average_marks]]&gt;=70, "B", IF(Table1[[#This Row],[Average_marks]]&gt;=60, "C", "fail"))))</f>
        <v>O</v>
      </c>
      <c r="L10" s="3" t="str">
        <f>IF(Table1[[#This Row],[Average_marks]]&gt;40, "pass","fail")</f>
        <v>pass</v>
      </c>
      <c r="M10" s="4">
        <f>Table1[[#This Row],[total_marks]]/300</f>
        <v>0.93</v>
      </c>
      <c r="N10" s="5">
        <f>AVERAGE(Table1[[#This Row],[Average_marks]])</f>
        <v>93</v>
      </c>
    </row>
    <row r="11" spans="1:14" x14ac:dyDescent="0.3">
      <c r="A11" s="3">
        <v>1010</v>
      </c>
      <c r="B11" s="3" t="s">
        <v>23</v>
      </c>
      <c r="C11" s="3" t="s">
        <v>12</v>
      </c>
      <c r="D11" s="3" t="s">
        <v>14</v>
      </c>
      <c r="E11" s="3">
        <v>79</v>
      </c>
      <c r="F11" s="3">
        <v>84</v>
      </c>
      <c r="G11" s="3">
        <v>81</v>
      </c>
      <c r="H11" s="3">
        <v>87</v>
      </c>
      <c r="I11" s="3">
        <f>SUM(Table1[[#This Row],[Math]:[English]])</f>
        <v>244</v>
      </c>
      <c r="J11" s="5">
        <f>AVERAGE(Table1[[#This Row],[Math]:[English]])</f>
        <v>81.333333333333329</v>
      </c>
      <c r="K11" s="1" t="str">
        <f>IF(Table1[[#This Row],[Average_marks]]&gt;=90, "O", IF(Table1[[#This Row],[Average_marks]]&gt;=80, "A", IF(Table1[[#This Row],[Average_marks]]&gt;=70, "B", IF(Table1[[#This Row],[Average_marks]]&gt;=60, "C", "fail"))))</f>
        <v>A</v>
      </c>
      <c r="L11" s="3" t="str">
        <f>IF(Table1[[#This Row],[Average_marks]]&gt;40, "pass","fail")</f>
        <v>pass</v>
      </c>
      <c r="M11" s="4">
        <f>Table1[[#This Row],[total_marks]]/300</f>
        <v>0.81333333333333335</v>
      </c>
      <c r="N11" s="5">
        <f>AVERAGE(Table1[[#This Row],[Average_marks]])</f>
        <v>81.333333333333329</v>
      </c>
    </row>
    <row r="12" spans="1:14" x14ac:dyDescent="0.3">
      <c r="A12" s="3">
        <v>1011</v>
      </c>
      <c r="B12" s="3" t="s">
        <v>24</v>
      </c>
      <c r="C12" s="3" t="s">
        <v>9</v>
      </c>
      <c r="D12" s="3" t="s">
        <v>17</v>
      </c>
      <c r="E12" s="3">
        <v>72</v>
      </c>
      <c r="F12" s="3">
        <v>75</v>
      </c>
      <c r="G12" s="3">
        <v>69</v>
      </c>
      <c r="H12" s="3">
        <v>80</v>
      </c>
      <c r="I12" s="3">
        <f>SUM(Table1[[#This Row],[Math]:[English]])</f>
        <v>216</v>
      </c>
      <c r="J12" s="5">
        <f>AVERAGE(Table1[[#This Row],[Math]:[English]])</f>
        <v>72</v>
      </c>
      <c r="K12" s="1" t="str">
        <f>IF(Table1[[#This Row],[Average_marks]]&gt;=90, "O", IF(Table1[[#This Row],[Average_marks]]&gt;=80, "A", IF(Table1[[#This Row],[Average_marks]]&gt;=70, "B", IF(Table1[[#This Row],[Average_marks]]&gt;=60, "C", "fail"))))</f>
        <v>B</v>
      </c>
      <c r="L12" s="3" t="str">
        <f>IF(Table1[[#This Row],[Average_marks]]&gt;40, "pass","fail")</f>
        <v>pass</v>
      </c>
      <c r="M12" s="4">
        <f>Table1[[#This Row],[total_marks]]/300</f>
        <v>0.72</v>
      </c>
      <c r="N12" s="5">
        <f>AVERAGE(Table1[[#This Row],[Average_marks]])</f>
        <v>72</v>
      </c>
    </row>
    <row r="13" spans="1:14" x14ac:dyDescent="0.3">
      <c r="A13" s="3">
        <v>1012</v>
      </c>
      <c r="B13" s="3" t="s">
        <v>25</v>
      </c>
      <c r="C13" s="3" t="s">
        <v>12</v>
      </c>
      <c r="D13" s="3" t="s">
        <v>20</v>
      </c>
      <c r="E13" s="3">
        <v>90</v>
      </c>
      <c r="F13" s="3">
        <v>87</v>
      </c>
      <c r="G13" s="3">
        <v>92</v>
      </c>
      <c r="H13" s="3">
        <v>96</v>
      </c>
      <c r="I13" s="3">
        <f>SUM(Table1[[#This Row],[Math]:[English]])</f>
        <v>269</v>
      </c>
      <c r="J13" s="5">
        <f>AVERAGE(Table1[[#This Row],[Math]:[English]])</f>
        <v>89.666666666666671</v>
      </c>
      <c r="K13" s="1" t="str">
        <f>IF(Table1[[#This Row],[Average_marks]]&gt;=90, "O", IF(Table1[[#This Row],[Average_marks]]&gt;=80, "A", IF(Table1[[#This Row],[Average_marks]]&gt;=70, "B", IF(Table1[[#This Row],[Average_marks]]&gt;=60, "C", "fail"))))</f>
        <v>A</v>
      </c>
      <c r="L13" s="3" t="str">
        <f>IF(Table1[[#This Row],[Average_marks]]&gt;40, "pass","fail")</f>
        <v>pass</v>
      </c>
      <c r="M13" s="4">
        <f>Table1[[#This Row],[total_marks]]/300</f>
        <v>0.89666666666666661</v>
      </c>
      <c r="N13" s="5">
        <f>AVERAGE(Table1[[#This Row],[Average_marks]])</f>
        <v>89.666666666666671</v>
      </c>
    </row>
    <row r="14" spans="1:14" x14ac:dyDescent="0.3">
      <c r="A14" s="3">
        <v>1013</v>
      </c>
      <c r="B14" s="3" t="s">
        <v>26</v>
      </c>
      <c r="C14" s="3" t="s">
        <v>9</v>
      </c>
      <c r="D14" s="3" t="s">
        <v>10</v>
      </c>
      <c r="E14" s="3">
        <v>67</v>
      </c>
      <c r="F14" s="3">
        <v>71</v>
      </c>
      <c r="G14" s="3">
        <v>73</v>
      </c>
      <c r="H14" s="3">
        <v>77</v>
      </c>
      <c r="I14" s="3">
        <f>SUM(Table1[[#This Row],[Math]:[English]])</f>
        <v>211</v>
      </c>
      <c r="J14" s="5">
        <f>AVERAGE(Table1[[#This Row],[Math]:[English]])</f>
        <v>70.333333333333329</v>
      </c>
      <c r="K14" s="1" t="str">
        <f>IF(Table1[[#This Row],[Average_marks]]&gt;=90, "O", IF(Table1[[#This Row],[Average_marks]]&gt;=80, "A", IF(Table1[[#This Row],[Average_marks]]&gt;=70, "B", IF(Table1[[#This Row],[Average_marks]]&gt;=60, "C", "fail"))))</f>
        <v>B</v>
      </c>
      <c r="L14" s="3" t="str">
        <f>IF(Table1[[#This Row],[Average_marks]]&gt;40, "pass","fail")</f>
        <v>pass</v>
      </c>
      <c r="M14" s="4">
        <f>Table1[[#This Row],[total_marks]]/300</f>
        <v>0.70333333333333337</v>
      </c>
      <c r="N14" s="5">
        <f>AVERAGE(Table1[[#This Row],[Average_marks]])</f>
        <v>70.333333333333329</v>
      </c>
    </row>
    <row r="15" spans="1:14" x14ac:dyDescent="0.3">
      <c r="A15" s="3">
        <v>1014</v>
      </c>
      <c r="B15" s="3" t="s">
        <v>27</v>
      </c>
      <c r="C15" s="3" t="s">
        <v>12</v>
      </c>
      <c r="D15" s="3" t="s">
        <v>17</v>
      </c>
      <c r="E15" s="3">
        <v>84</v>
      </c>
      <c r="F15" s="3">
        <v>88</v>
      </c>
      <c r="G15" s="3">
        <v>86</v>
      </c>
      <c r="H15" s="3">
        <v>91</v>
      </c>
      <c r="I15" s="3">
        <f>SUM(Table1[[#This Row],[Math]:[English]])</f>
        <v>258</v>
      </c>
      <c r="J15" s="5">
        <f>AVERAGE(Table1[[#This Row],[Math]:[English]])</f>
        <v>86</v>
      </c>
      <c r="K15" s="1" t="str">
        <f>IF(Table1[[#This Row],[Average_marks]]&gt;=90, "O", IF(Table1[[#This Row],[Average_marks]]&gt;=80, "A", IF(Table1[[#This Row],[Average_marks]]&gt;=70, "B", IF(Table1[[#This Row],[Average_marks]]&gt;=60, "C", "fail"))))</f>
        <v>A</v>
      </c>
      <c r="L15" s="3" t="str">
        <f>IF(Table1[[#This Row],[Average_marks]]&gt;40, "pass","fail")</f>
        <v>pass</v>
      </c>
      <c r="M15" s="4">
        <f>Table1[[#This Row],[total_marks]]/300</f>
        <v>0.86</v>
      </c>
      <c r="N15" s="5">
        <f>AVERAGE(Table1[[#This Row],[Average_marks]])</f>
        <v>86</v>
      </c>
    </row>
    <row r="16" spans="1:14" x14ac:dyDescent="0.3">
      <c r="A16" s="3">
        <v>1015</v>
      </c>
      <c r="B16" s="3" t="s">
        <v>28</v>
      </c>
      <c r="C16" s="3" t="s">
        <v>9</v>
      </c>
      <c r="D16" s="3" t="s">
        <v>14</v>
      </c>
      <c r="E16" s="3">
        <v>77</v>
      </c>
      <c r="F16" s="3">
        <v>79</v>
      </c>
      <c r="G16" s="3">
        <v>75</v>
      </c>
      <c r="H16" s="3">
        <v>83</v>
      </c>
      <c r="I16" s="3">
        <f>SUM(Table1[[#This Row],[Math]:[English]])</f>
        <v>231</v>
      </c>
      <c r="J16" s="5">
        <f>AVERAGE(Table1[[#This Row],[Math]:[English]])</f>
        <v>77</v>
      </c>
      <c r="K16" s="1" t="str">
        <f>IF(Table1[[#This Row],[Average_marks]]&gt;=90, "O", IF(Table1[[#This Row],[Average_marks]]&gt;=80, "A", IF(Table1[[#This Row],[Average_marks]]&gt;=70, "B", IF(Table1[[#This Row],[Average_marks]]&gt;=60, "C", "fail"))))</f>
        <v>B</v>
      </c>
      <c r="L16" s="3" t="str">
        <f>IF(Table1[[#This Row],[Average_marks]]&gt;40, "pass","fail")</f>
        <v>pass</v>
      </c>
      <c r="M16" s="4">
        <f>Table1[[#This Row],[total_marks]]/300</f>
        <v>0.77</v>
      </c>
      <c r="N16" s="5">
        <f>AVERAGE(Table1[[#This Row],[Average_marks]])</f>
        <v>77</v>
      </c>
    </row>
    <row r="17" spans="1:14" x14ac:dyDescent="0.3">
      <c r="A17" s="3">
        <v>1016</v>
      </c>
      <c r="B17" s="3" t="s">
        <v>29</v>
      </c>
      <c r="C17" s="3" t="s">
        <v>12</v>
      </c>
      <c r="D17" s="3" t="s">
        <v>20</v>
      </c>
      <c r="E17" s="3">
        <v>94</v>
      </c>
      <c r="F17" s="3">
        <v>96</v>
      </c>
      <c r="G17" s="3">
        <v>95</v>
      </c>
      <c r="H17" s="3">
        <v>99</v>
      </c>
      <c r="I17" s="3">
        <f>SUM(Table1[[#This Row],[Math]:[English]])</f>
        <v>285</v>
      </c>
      <c r="J17" s="5">
        <f>AVERAGE(Table1[[#This Row],[Math]:[English]])</f>
        <v>95</v>
      </c>
      <c r="K17" s="1" t="str">
        <f>IF(Table1[[#This Row],[Average_marks]]&gt;=90, "O", IF(Table1[[#This Row],[Average_marks]]&gt;=80, "A", IF(Table1[[#This Row],[Average_marks]]&gt;=70, "B", IF(Table1[[#This Row],[Average_marks]]&gt;=60, "C", "fail"))))</f>
        <v>O</v>
      </c>
      <c r="L17" s="3" t="str">
        <f>IF(Table1[[#This Row],[Average_marks]]&gt;40, "pass","fail")</f>
        <v>pass</v>
      </c>
      <c r="M17" s="4">
        <f>Table1[[#This Row],[total_marks]]/300</f>
        <v>0.95</v>
      </c>
      <c r="N17" s="5">
        <f>AVERAGE(Table1[[#This Row],[Average_marks]])</f>
        <v>95</v>
      </c>
    </row>
    <row r="18" spans="1:14" x14ac:dyDescent="0.3">
      <c r="A18" s="3">
        <v>1017</v>
      </c>
      <c r="B18" s="3" t="s">
        <v>30</v>
      </c>
      <c r="C18" s="3" t="s">
        <v>9</v>
      </c>
      <c r="D18" s="3" t="s">
        <v>10</v>
      </c>
      <c r="E18" s="3">
        <v>70</v>
      </c>
      <c r="F18" s="3">
        <v>68</v>
      </c>
      <c r="G18" s="3">
        <v>72</v>
      </c>
      <c r="H18" s="3">
        <v>79</v>
      </c>
      <c r="I18" s="3">
        <f>SUM(Table1[[#This Row],[Math]:[English]])</f>
        <v>210</v>
      </c>
      <c r="J18" s="5">
        <f>AVERAGE(Table1[[#This Row],[Math]:[English]])</f>
        <v>70</v>
      </c>
      <c r="K18" s="1" t="str">
        <f>IF(Table1[[#This Row],[Average_marks]]&gt;=90, "O", IF(Table1[[#This Row],[Average_marks]]&gt;=80, "A", IF(Table1[[#This Row],[Average_marks]]&gt;=70, "B", IF(Table1[[#This Row],[Average_marks]]&gt;=60, "C", "fail"))))</f>
        <v>B</v>
      </c>
      <c r="L18" s="3" t="str">
        <f>IF(Table1[[#This Row],[Average_marks]]&gt;40, "pass","fail")</f>
        <v>pass</v>
      </c>
      <c r="M18" s="4">
        <f>Table1[[#This Row],[total_marks]]/300</f>
        <v>0.7</v>
      </c>
      <c r="N18" s="5">
        <f>AVERAGE(Table1[[#This Row],[Average_marks]])</f>
        <v>70</v>
      </c>
    </row>
    <row r="19" spans="1:14" x14ac:dyDescent="0.3">
      <c r="A19" s="3">
        <v>1018</v>
      </c>
      <c r="B19" s="3" t="s">
        <v>31</v>
      </c>
      <c r="C19" s="3" t="s">
        <v>12</v>
      </c>
      <c r="D19" s="3" t="s">
        <v>17</v>
      </c>
      <c r="E19" s="3">
        <v>89</v>
      </c>
      <c r="F19" s="3">
        <v>91</v>
      </c>
      <c r="G19" s="3">
        <v>87</v>
      </c>
      <c r="H19" s="3">
        <v>94</v>
      </c>
      <c r="I19" s="3">
        <f>SUM(Table1[[#This Row],[Math]:[English]])</f>
        <v>267</v>
      </c>
      <c r="J19" s="5">
        <f>AVERAGE(Table1[[#This Row],[Math]:[English]])</f>
        <v>89</v>
      </c>
      <c r="K19" s="1" t="str">
        <f>IF(Table1[[#This Row],[Average_marks]]&gt;=90, "O", IF(Table1[[#This Row],[Average_marks]]&gt;=80, "A", IF(Table1[[#This Row],[Average_marks]]&gt;=70, "B", IF(Table1[[#This Row],[Average_marks]]&gt;=60, "C", "fail"))))</f>
        <v>A</v>
      </c>
      <c r="L19" s="3" t="str">
        <f>IF(Table1[[#This Row],[Average_marks]]&gt;40, "pass","fail")</f>
        <v>pass</v>
      </c>
      <c r="M19" s="4">
        <f>Table1[[#This Row],[total_marks]]/300</f>
        <v>0.89</v>
      </c>
      <c r="N19" s="5">
        <f>AVERAGE(Table1[[#This Row],[Average_marks]])</f>
        <v>89</v>
      </c>
    </row>
    <row r="20" spans="1:14" x14ac:dyDescent="0.3">
      <c r="A20" s="3">
        <v>1019</v>
      </c>
      <c r="B20" s="3" t="s">
        <v>32</v>
      </c>
      <c r="C20" s="3" t="s">
        <v>9</v>
      </c>
      <c r="D20" s="3" t="s">
        <v>20</v>
      </c>
      <c r="E20" s="3">
        <v>74</v>
      </c>
      <c r="F20" s="3">
        <v>76</v>
      </c>
      <c r="G20" s="3">
        <v>78</v>
      </c>
      <c r="H20" s="3">
        <v>84</v>
      </c>
      <c r="I20" s="3">
        <f>SUM(Table1[[#This Row],[Math]:[English]])</f>
        <v>228</v>
      </c>
      <c r="J20" s="5">
        <f>AVERAGE(Table1[[#This Row],[Math]:[English]])</f>
        <v>76</v>
      </c>
      <c r="K20" s="1" t="str">
        <f>IF(Table1[[#This Row],[Average_marks]]&gt;=90, "O", IF(Table1[[#This Row],[Average_marks]]&gt;=80, "A", IF(Table1[[#This Row],[Average_marks]]&gt;=70, "B", IF(Table1[[#This Row],[Average_marks]]&gt;=60, "C", "fail"))))</f>
        <v>B</v>
      </c>
      <c r="L20" s="3" t="str">
        <f>IF(Table1[[#This Row],[Average_marks]]&gt;40, "pass","fail")</f>
        <v>pass</v>
      </c>
      <c r="M20" s="4">
        <f>Table1[[#This Row],[total_marks]]/300</f>
        <v>0.76</v>
      </c>
      <c r="N20" s="5">
        <f>AVERAGE(Table1[[#This Row],[Average_marks]])</f>
        <v>76</v>
      </c>
    </row>
    <row r="21" spans="1:14" x14ac:dyDescent="0.3">
      <c r="A21" s="3">
        <v>1020</v>
      </c>
      <c r="B21" s="3" t="s">
        <v>33</v>
      </c>
      <c r="C21" s="3" t="s">
        <v>12</v>
      </c>
      <c r="D21" s="3" t="s">
        <v>14</v>
      </c>
      <c r="E21" s="3">
        <v>86</v>
      </c>
      <c r="F21" s="3">
        <v>83</v>
      </c>
      <c r="G21" s="3">
        <v>88</v>
      </c>
      <c r="H21" s="3">
        <v>90</v>
      </c>
      <c r="I21" s="3">
        <f>SUM(Table1[[#This Row],[Math]:[English]])</f>
        <v>257</v>
      </c>
      <c r="J21" s="5">
        <f>AVERAGE(Table1[[#This Row],[Math]:[English]])</f>
        <v>85.666666666666671</v>
      </c>
      <c r="K21" s="1" t="str">
        <f>IF(Table1[[#This Row],[Average_marks]]&gt;=90, "O", IF(Table1[[#This Row],[Average_marks]]&gt;=80, "A", IF(Table1[[#This Row],[Average_marks]]&gt;=70, "B", IF(Table1[[#This Row],[Average_marks]]&gt;=60, "C", "fail"))))</f>
        <v>A</v>
      </c>
      <c r="L21" s="3" t="str">
        <f>IF(Table1[[#This Row],[Average_marks]]&gt;40, "pass","fail")</f>
        <v>pass</v>
      </c>
      <c r="M21" s="4">
        <f>Table1[[#This Row],[total_marks]]/300</f>
        <v>0.85666666666666669</v>
      </c>
      <c r="N21" s="5">
        <f>AVERAGE(Table1[[#This Row],[Average_marks]])</f>
        <v>85.666666666666671</v>
      </c>
    </row>
    <row r="22" spans="1:14" x14ac:dyDescent="0.3">
      <c r="A22" s="3">
        <v>1021</v>
      </c>
      <c r="B22" s="3" t="s">
        <v>34</v>
      </c>
      <c r="C22" s="3" t="s">
        <v>9</v>
      </c>
      <c r="D22" s="3" t="s">
        <v>10</v>
      </c>
      <c r="E22" s="3">
        <v>81</v>
      </c>
      <c r="F22" s="3">
        <v>85</v>
      </c>
      <c r="G22" s="3">
        <v>79</v>
      </c>
      <c r="H22" s="3">
        <v>86</v>
      </c>
      <c r="I22" s="3">
        <f>SUM(Table1[[#This Row],[Math]:[English]])</f>
        <v>245</v>
      </c>
      <c r="J22" s="5">
        <f>AVERAGE(Table1[[#This Row],[Math]:[English]])</f>
        <v>81.666666666666671</v>
      </c>
      <c r="K22" s="1" t="str">
        <f>IF(Table1[[#This Row],[Average_marks]]&gt;=90, "O", IF(Table1[[#This Row],[Average_marks]]&gt;=80, "A", IF(Table1[[#This Row],[Average_marks]]&gt;=70, "B", IF(Table1[[#This Row],[Average_marks]]&gt;=60, "C", "fail"))))</f>
        <v>A</v>
      </c>
      <c r="L22" s="3" t="str">
        <f>IF(Table1[[#This Row],[Average_marks]]&gt;40, "pass","fail")</f>
        <v>pass</v>
      </c>
      <c r="M22" s="4">
        <f>Table1[[#This Row],[total_marks]]/300</f>
        <v>0.81666666666666665</v>
      </c>
      <c r="N22" s="5">
        <f>AVERAGE(Table1[[#This Row],[Average_marks]])</f>
        <v>81.666666666666671</v>
      </c>
    </row>
    <row r="23" spans="1:14" x14ac:dyDescent="0.3">
      <c r="A23" s="3">
        <v>1022</v>
      </c>
      <c r="B23" s="3" t="s">
        <v>35</v>
      </c>
      <c r="C23" s="3" t="s">
        <v>12</v>
      </c>
      <c r="D23" s="3" t="s">
        <v>17</v>
      </c>
      <c r="E23" s="3">
        <v>92</v>
      </c>
      <c r="F23" s="3">
        <v>94</v>
      </c>
      <c r="G23" s="3">
        <v>90</v>
      </c>
      <c r="H23" s="3">
        <v>97</v>
      </c>
      <c r="I23" s="3">
        <f>SUM(Table1[[#This Row],[Math]:[English]])</f>
        <v>276</v>
      </c>
      <c r="J23" s="5">
        <f>AVERAGE(Table1[[#This Row],[Math]:[English]])</f>
        <v>92</v>
      </c>
      <c r="K23" s="1" t="str">
        <f>IF(Table1[[#This Row],[Average_marks]]&gt;=90, "O", IF(Table1[[#This Row],[Average_marks]]&gt;=80, "A", IF(Table1[[#This Row],[Average_marks]]&gt;=70, "B", IF(Table1[[#This Row],[Average_marks]]&gt;=60, "C", "fail"))))</f>
        <v>O</v>
      </c>
      <c r="L23" s="3" t="str">
        <f>IF(Table1[[#This Row],[Average_marks]]&gt;40, "pass","fail")</f>
        <v>pass</v>
      </c>
      <c r="M23" s="4">
        <f>Table1[[#This Row],[total_marks]]/300</f>
        <v>0.92</v>
      </c>
      <c r="N23" s="5">
        <f>AVERAGE(Table1[[#This Row],[Average_marks]])</f>
        <v>92</v>
      </c>
    </row>
    <row r="24" spans="1:14" x14ac:dyDescent="0.3">
      <c r="A24" s="3">
        <v>1023</v>
      </c>
      <c r="B24" s="3" t="s">
        <v>36</v>
      </c>
      <c r="C24" s="3" t="s">
        <v>9</v>
      </c>
      <c r="D24" s="3" t="s">
        <v>20</v>
      </c>
      <c r="E24" s="3">
        <v>69</v>
      </c>
      <c r="F24" s="3">
        <v>73</v>
      </c>
      <c r="G24" s="3">
        <v>71</v>
      </c>
      <c r="H24" s="3">
        <v>81</v>
      </c>
      <c r="I24" s="3">
        <f>SUM(Table1[[#This Row],[Math]:[English]])</f>
        <v>213</v>
      </c>
      <c r="J24" s="5">
        <f>AVERAGE(Table1[[#This Row],[Math]:[English]])</f>
        <v>71</v>
      </c>
      <c r="K24" s="1" t="str">
        <f>IF(Table1[[#This Row],[Average_marks]]&gt;=90, "O", IF(Table1[[#This Row],[Average_marks]]&gt;=80, "A", IF(Table1[[#This Row],[Average_marks]]&gt;=70, "B", IF(Table1[[#This Row],[Average_marks]]&gt;=60, "C", "fail"))))</f>
        <v>B</v>
      </c>
      <c r="L24" s="3" t="str">
        <f>IF(Table1[[#This Row],[Average_marks]]&gt;40, "pass","fail")</f>
        <v>pass</v>
      </c>
      <c r="M24" s="4">
        <f>Table1[[#This Row],[total_marks]]/300</f>
        <v>0.71</v>
      </c>
      <c r="N24" s="5">
        <f>AVERAGE(Table1[[#This Row],[Average_marks]])</f>
        <v>71</v>
      </c>
    </row>
    <row r="25" spans="1:14" x14ac:dyDescent="0.3">
      <c r="A25" s="3">
        <v>1024</v>
      </c>
      <c r="B25" s="3" t="s">
        <v>37</v>
      </c>
      <c r="C25" s="3" t="s">
        <v>12</v>
      </c>
      <c r="D25" s="3" t="s">
        <v>14</v>
      </c>
      <c r="E25" s="3">
        <v>87</v>
      </c>
      <c r="F25" s="3">
        <v>89</v>
      </c>
      <c r="G25" s="3">
        <v>85</v>
      </c>
      <c r="H25" s="3">
        <v>92</v>
      </c>
      <c r="I25" s="3">
        <f>SUM(Table1[[#This Row],[Math]:[English]])</f>
        <v>261</v>
      </c>
      <c r="J25" s="5">
        <f>AVERAGE(Table1[[#This Row],[Math]:[English]])</f>
        <v>87</v>
      </c>
      <c r="K25" s="1" t="str">
        <f>IF(Table1[[#This Row],[Average_marks]]&gt;=90, "O", IF(Table1[[#This Row],[Average_marks]]&gt;=80, "A", IF(Table1[[#This Row],[Average_marks]]&gt;=70, "B", IF(Table1[[#This Row],[Average_marks]]&gt;=60, "C", "fail"))))</f>
        <v>A</v>
      </c>
      <c r="L25" s="3" t="str">
        <f>IF(Table1[[#This Row],[Average_marks]]&gt;40, "pass","fail")</f>
        <v>pass</v>
      </c>
      <c r="M25" s="4">
        <f>Table1[[#This Row],[total_marks]]/300</f>
        <v>0.87</v>
      </c>
      <c r="N25" s="5">
        <f>AVERAGE(Table1[[#This Row],[Average_marks]])</f>
        <v>87</v>
      </c>
    </row>
    <row r="26" spans="1:14" x14ac:dyDescent="0.3">
      <c r="A26" s="3">
        <v>1025</v>
      </c>
      <c r="B26" s="3" t="s">
        <v>38</v>
      </c>
      <c r="C26" s="3" t="s">
        <v>9</v>
      </c>
      <c r="D26" s="3" t="s">
        <v>10</v>
      </c>
      <c r="E26" s="3">
        <v>78</v>
      </c>
      <c r="F26" s="3">
        <v>80</v>
      </c>
      <c r="G26" s="3">
        <v>77</v>
      </c>
      <c r="H26" s="3">
        <v>88</v>
      </c>
      <c r="I26" s="3">
        <f>SUM(Table1[[#This Row],[Math]:[English]])</f>
        <v>235</v>
      </c>
      <c r="J26" s="5">
        <f>AVERAGE(Table1[[#This Row],[Math]:[English]])</f>
        <v>78.333333333333329</v>
      </c>
      <c r="K26" s="1" t="str">
        <f>IF(Table1[[#This Row],[Average_marks]]&gt;=90, "O", IF(Table1[[#This Row],[Average_marks]]&gt;=80, "A", IF(Table1[[#This Row],[Average_marks]]&gt;=70, "B", IF(Table1[[#This Row],[Average_marks]]&gt;=60, "C", "fail"))))</f>
        <v>B</v>
      </c>
      <c r="L26" s="3" t="str">
        <f>IF(Table1[[#This Row],[Average_marks]]&gt;40, "pass","fail")</f>
        <v>pass</v>
      </c>
      <c r="M26" s="4">
        <f>Table1[[#This Row],[total_marks]]/300</f>
        <v>0.78333333333333333</v>
      </c>
      <c r="N26" s="5">
        <f>AVERAGE(Table1[[#This Row],[Average_marks]])</f>
        <v>78.333333333333329</v>
      </c>
    </row>
    <row r="27" spans="1:14" x14ac:dyDescent="0.3">
      <c r="A27" s="3">
        <v>1026</v>
      </c>
      <c r="B27" s="3" t="s">
        <v>39</v>
      </c>
      <c r="C27" s="3" t="s">
        <v>12</v>
      </c>
      <c r="D27" s="3" t="s">
        <v>17</v>
      </c>
      <c r="E27" s="3">
        <v>95</v>
      </c>
      <c r="F27" s="3">
        <v>97</v>
      </c>
      <c r="G27" s="3">
        <v>94</v>
      </c>
      <c r="H27" s="3">
        <v>99</v>
      </c>
      <c r="I27" s="3">
        <f>SUM(Table1[[#This Row],[Math]:[English]])</f>
        <v>286</v>
      </c>
      <c r="J27" s="5">
        <f>AVERAGE(Table1[[#This Row],[Math]:[English]])</f>
        <v>95.333333333333329</v>
      </c>
      <c r="K27" s="1" t="str">
        <f>IF(Table1[[#This Row],[Average_marks]]&gt;=90, "O", IF(Table1[[#This Row],[Average_marks]]&gt;=80, "A", IF(Table1[[#This Row],[Average_marks]]&gt;=70, "B", IF(Table1[[#This Row],[Average_marks]]&gt;=60, "C", "fail"))))</f>
        <v>O</v>
      </c>
      <c r="L27" s="3" t="str">
        <f>IF(Table1[[#This Row],[Average_marks]]&gt;40, "pass","fail")</f>
        <v>pass</v>
      </c>
      <c r="M27" s="4">
        <f>Table1[[#This Row],[total_marks]]/300</f>
        <v>0.95333333333333337</v>
      </c>
      <c r="N27" s="5">
        <f>AVERAGE(Table1[[#This Row],[Average_marks]])</f>
        <v>95.333333333333329</v>
      </c>
    </row>
    <row r="28" spans="1:14" x14ac:dyDescent="0.3">
      <c r="A28" s="3">
        <v>1027</v>
      </c>
      <c r="B28" s="3" t="s">
        <v>40</v>
      </c>
      <c r="C28" s="3" t="s">
        <v>9</v>
      </c>
      <c r="D28" s="3" t="s">
        <v>20</v>
      </c>
      <c r="E28" s="3">
        <v>66</v>
      </c>
      <c r="F28" s="3">
        <v>69</v>
      </c>
      <c r="G28" s="3">
        <v>67</v>
      </c>
      <c r="H28" s="3">
        <v>76</v>
      </c>
      <c r="I28" s="3">
        <f>SUM(Table1[[#This Row],[Math]:[English]])</f>
        <v>202</v>
      </c>
      <c r="J28" s="5">
        <f>AVERAGE(Table1[[#This Row],[Math]:[English]])</f>
        <v>67.333333333333329</v>
      </c>
      <c r="K28" s="1" t="str">
        <f>IF(Table1[[#This Row],[Average_marks]]&gt;=90, "O", IF(Table1[[#This Row],[Average_marks]]&gt;=80, "A", IF(Table1[[#This Row],[Average_marks]]&gt;=70, "B", IF(Table1[[#This Row],[Average_marks]]&gt;=60, "C", "fail"))))</f>
        <v>C</v>
      </c>
      <c r="L28" s="3" t="str">
        <f>IF(Table1[[#This Row],[Average_marks]]&gt;40, "pass","fail")</f>
        <v>pass</v>
      </c>
      <c r="M28" s="4">
        <f>Table1[[#This Row],[total_marks]]/300</f>
        <v>0.67333333333333334</v>
      </c>
      <c r="N28" s="5">
        <f>AVERAGE(Table1[[#This Row],[Average_marks]])</f>
        <v>67.333333333333329</v>
      </c>
    </row>
    <row r="29" spans="1:14" x14ac:dyDescent="0.3">
      <c r="A29" s="3">
        <v>1028</v>
      </c>
      <c r="B29" s="3" t="s">
        <v>41</v>
      </c>
      <c r="C29" s="3" t="s">
        <v>12</v>
      </c>
      <c r="D29" s="3" t="s">
        <v>14</v>
      </c>
      <c r="E29" s="3">
        <v>90</v>
      </c>
      <c r="F29" s="3">
        <v>92</v>
      </c>
      <c r="G29" s="3">
        <v>89</v>
      </c>
      <c r="H29" s="3">
        <v>95</v>
      </c>
      <c r="I29" s="3">
        <f>SUM(Table1[[#This Row],[Math]:[English]])</f>
        <v>271</v>
      </c>
      <c r="J29" s="5">
        <f>AVERAGE(Table1[[#This Row],[Math]:[English]])</f>
        <v>90.333333333333329</v>
      </c>
      <c r="K29" s="1" t="str">
        <f>IF(Table1[[#This Row],[Average_marks]]&gt;=90, "O", IF(Table1[[#This Row],[Average_marks]]&gt;=80, "A", IF(Table1[[#This Row],[Average_marks]]&gt;=70, "B", IF(Table1[[#This Row],[Average_marks]]&gt;=60, "C", "fail"))))</f>
        <v>O</v>
      </c>
      <c r="L29" s="3" t="str">
        <f>IF(Table1[[#This Row],[Average_marks]]&gt;40, "pass","fail")</f>
        <v>pass</v>
      </c>
      <c r="M29" s="4">
        <f>Table1[[#This Row],[total_marks]]/300</f>
        <v>0.90333333333333332</v>
      </c>
      <c r="N29" s="5">
        <f>AVERAGE(Table1[[#This Row],[Average_marks]])</f>
        <v>90.333333333333329</v>
      </c>
    </row>
    <row r="30" spans="1:14" x14ac:dyDescent="0.3">
      <c r="A30" s="3">
        <v>1029</v>
      </c>
      <c r="B30" s="3" t="s">
        <v>42</v>
      </c>
      <c r="C30" s="3" t="s">
        <v>9</v>
      </c>
      <c r="D30" s="3" t="s">
        <v>10</v>
      </c>
      <c r="E30" s="3">
        <v>83</v>
      </c>
      <c r="F30" s="3">
        <v>86</v>
      </c>
      <c r="G30" s="3">
        <v>82</v>
      </c>
      <c r="H30" s="3">
        <v>89</v>
      </c>
      <c r="I30" s="3">
        <f>SUM(Table1[[#This Row],[Math]:[English]])</f>
        <v>251</v>
      </c>
      <c r="J30" s="5">
        <f>AVERAGE(Table1[[#This Row],[Math]:[English]])</f>
        <v>83.666666666666671</v>
      </c>
      <c r="K30" s="1" t="str">
        <f>IF(Table1[[#This Row],[Average_marks]]&gt;=90, "O", IF(Table1[[#This Row],[Average_marks]]&gt;=80, "A", IF(Table1[[#This Row],[Average_marks]]&gt;=70, "B", IF(Table1[[#This Row],[Average_marks]]&gt;=60, "C", "fail"))))</f>
        <v>A</v>
      </c>
      <c r="L30" s="3" t="str">
        <f>IF(Table1[[#This Row],[Average_marks]]&gt;40, "pass","fail")</f>
        <v>pass</v>
      </c>
      <c r="M30" s="4">
        <f>Table1[[#This Row],[total_marks]]/300</f>
        <v>0.83666666666666667</v>
      </c>
      <c r="N30" s="5">
        <f>AVERAGE(Table1[[#This Row],[Average_marks]])</f>
        <v>83.666666666666671</v>
      </c>
    </row>
    <row r="31" spans="1:14" x14ac:dyDescent="0.3">
      <c r="A31" s="3">
        <v>1030</v>
      </c>
      <c r="B31" s="3" t="s">
        <v>43</v>
      </c>
      <c r="C31" s="3" t="s">
        <v>12</v>
      </c>
      <c r="D31" s="3" t="s">
        <v>17</v>
      </c>
      <c r="E31" s="3">
        <v>88</v>
      </c>
      <c r="F31" s="3">
        <v>90</v>
      </c>
      <c r="G31" s="3">
        <v>87</v>
      </c>
      <c r="H31" s="3">
        <v>93</v>
      </c>
      <c r="I31" s="3">
        <f>SUM(Table1[[#This Row],[Math]:[English]])</f>
        <v>265</v>
      </c>
      <c r="J31" s="5">
        <f>AVERAGE(Table1[[#This Row],[Math]:[English]])</f>
        <v>88.333333333333329</v>
      </c>
      <c r="K31" s="1" t="str">
        <f>IF(Table1[[#This Row],[Average_marks]]&gt;=90, "O", IF(Table1[[#This Row],[Average_marks]]&gt;=80, "A", IF(Table1[[#This Row],[Average_marks]]&gt;=70, "B", IF(Table1[[#This Row],[Average_marks]]&gt;=60, "C", "fail"))))</f>
        <v>A</v>
      </c>
      <c r="L31" s="3" t="str">
        <f>IF(Table1[[#This Row],[Average_marks]]&gt;40, "pass","fail")</f>
        <v>pass</v>
      </c>
      <c r="M31" s="4">
        <f>Table1[[#This Row],[total_marks]]/300</f>
        <v>0.8833333333333333</v>
      </c>
      <c r="N31" s="5">
        <f>AVERAGE(Table1[[#This Row],[Average_marks]])</f>
        <v>88.333333333333329</v>
      </c>
    </row>
    <row r="34" spans="1:2" x14ac:dyDescent="0.3">
      <c r="A34" t="s">
        <v>47</v>
      </c>
      <c r="B34">
        <f>COUNT(Table1[Student_ID])</f>
        <v>30</v>
      </c>
    </row>
    <row r="35" spans="1:2" x14ac:dyDescent="0.3">
      <c r="A35" t="s">
        <v>48</v>
      </c>
      <c r="B35">
        <f>AVERAGE(Table1[Average_marks])</f>
        <v>82.25555555555556</v>
      </c>
    </row>
    <row r="36" spans="1:2" x14ac:dyDescent="0.3">
      <c r="A36" t="s">
        <v>49</v>
      </c>
      <c r="B36">
        <f>MAX(Table1[total_marks])</f>
        <v>286</v>
      </c>
    </row>
    <row r="37" spans="1:2" x14ac:dyDescent="0.3">
      <c r="A37" t="s">
        <v>50</v>
      </c>
      <c r="B37">
        <f>MIN(Table1[total_marks])</f>
        <v>202</v>
      </c>
    </row>
    <row r="38" spans="1:2" x14ac:dyDescent="0.3">
      <c r="A38" t="s">
        <v>51</v>
      </c>
      <c r="B38">
        <f>COUNTIF(Table1[Result], "pass")</f>
        <v>30</v>
      </c>
    </row>
    <row r="39" spans="1:2" x14ac:dyDescent="0.3">
      <c r="A39" t="s">
        <v>52</v>
      </c>
      <c r="B39">
        <f>COUNTIF(Table1[Result], "fail")</f>
        <v>0</v>
      </c>
    </row>
    <row r="40" spans="1:2" x14ac:dyDescent="0.3">
      <c r="A40" t="s">
        <v>53</v>
      </c>
      <c r="B40">
        <f>AVERAGE(Table1[Attendance_%])</f>
        <v>88.7</v>
      </c>
    </row>
    <row r="41" spans="1:2" x14ac:dyDescent="0.3">
      <c r="A41" t="s">
        <v>54</v>
      </c>
    </row>
    <row r="42" spans="1:2" x14ac:dyDescent="0.3">
      <c r="A42" t="s">
        <v>55</v>
      </c>
      <c r="B42">
        <f>COUNTIF(Table1[Course], "data science")</f>
        <v>8</v>
      </c>
    </row>
    <row r="43" spans="1:2" x14ac:dyDescent="0.3">
      <c r="A43" t="s">
        <v>56</v>
      </c>
      <c r="B43">
        <f>AVERAGE(Table1[Math])</f>
        <v>81.13333333333334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68DA-AC54-4DF8-BEE0-B529629B17DC}">
  <dimension ref="B3:J34"/>
  <sheetViews>
    <sheetView zoomScale="68" workbookViewId="0">
      <selection activeCell="J47" sqref="J47"/>
    </sheetView>
  </sheetViews>
  <sheetFormatPr defaultRowHeight="14.4" x14ac:dyDescent="0.3"/>
  <cols>
    <col min="2" max="2" width="13.88671875" bestFit="1" customWidth="1"/>
    <col min="3" max="3" width="18" bestFit="1" customWidth="1"/>
    <col min="5" max="5" width="13.88671875" bestFit="1" customWidth="1"/>
    <col min="6" max="6" width="22.44140625" bestFit="1" customWidth="1"/>
    <col min="7" max="7" width="14.5546875" bestFit="1" customWidth="1"/>
    <col min="8" max="8" width="13.88671875" bestFit="1" customWidth="1"/>
    <col min="9" max="9" width="22.44140625" bestFit="1" customWidth="1"/>
  </cols>
  <sheetData>
    <row r="3" spans="2:10" x14ac:dyDescent="0.3">
      <c r="B3" s="8" t="s">
        <v>57</v>
      </c>
      <c r="C3" s="8"/>
      <c r="D3" s="6"/>
      <c r="E3" s="7" t="s">
        <v>61</v>
      </c>
      <c r="F3" s="7"/>
    </row>
    <row r="5" spans="2:10" x14ac:dyDescent="0.3">
      <c r="B5" s="9" t="s">
        <v>58</v>
      </c>
      <c r="C5" t="s">
        <v>60</v>
      </c>
      <c r="E5" s="9" t="s">
        <v>58</v>
      </c>
      <c r="F5" t="s">
        <v>60</v>
      </c>
    </row>
    <row r="6" spans="2:10" x14ac:dyDescent="0.3">
      <c r="B6" s="10" t="s">
        <v>10</v>
      </c>
      <c r="C6" s="11">
        <v>8</v>
      </c>
      <c r="E6" s="10" t="s">
        <v>12</v>
      </c>
      <c r="F6" s="11">
        <v>15</v>
      </c>
    </row>
    <row r="7" spans="2:10" x14ac:dyDescent="0.3">
      <c r="B7" s="10" t="s">
        <v>17</v>
      </c>
      <c r="C7" s="11">
        <v>8</v>
      </c>
      <c r="E7" s="10" t="s">
        <v>9</v>
      </c>
      <c r="F7" s="11">
        <v>15</v>
      </c>
    </row>
    <row r="8" spans="2:10" x14ac:dyDescent="0.3">
      <c r="B8" s="10" t="s">
        <v>14</v>
      </c>
      <c r="C8" s="11">
        <v>7</v>
      </c>
      <c r="E8" s="10" t="s">
        <v>59</v>
      </c>
      <c r="F8" s="11">
        <v>30</v>
      </c>
    </row>
    <row r="9" spans="2:10" x14ac:dyDescent="0.3">
      <c r="B9" s="10" t="s">
        <v>20</v>
      </c>
      <c r="C9" s="11">
        <v>7</v>
      </c>
    </row>
    <row r="10" spans="2:10" x14ac:dyDescent="0.3">
      <c r="B10" s="10" t="s">
        <v>59</v>
      </c>
      <c r="C10" s="11">
        <v>30</v>
      </c>
    </row>
    <row r="12" spans="2:10" x14ac:dyDescent="0.3">
      <c r="B12" s="7" t="s">
        <v>62</v>
      </c>
      <c r="C12" s="7"/>
      <c r="E12" s="7" t="s">
        <v>64</v>
      </c>
      <c r="F12" s="7"/>
      <c r="I12" s="14" t="s">
        <v>78</v>
      </c>
      <c r="J12">
        <f>COUNT(Table1[Student_ID])</f>
        <v>30</v>
      </c>
    </row>
    <row r="13" spans="2:10" x14ac:dyDescent="0.3">
      <c r="I13" s="15" t="s">
        <v>80</v>
      </c>
      <c r="J13">
        <f>AVERAGE(Table1[Average_marks])</f>
        <v>82.25555555555556</v>
      </c>
    </row>
    <row r="14" spans="2:10" x14ac:dyDescent="0.3">
      <c r="B14" s="9" t="s">
        <v>58</v>
      </c>
      <c r="C14" t="s">
        <v>63</v>
      </c>
      <c r="E14" s="9" t="s">
        <v>58</v>
      </c>
      <c r="F14" t="s">
        <v>79</v>
      </c>
      <c r="I14" s="15" t="s">
        <v>81</v>
      </c>
      <c r="J14">
        <f>COUNTIF(Table1[Result], "pass")/COUNTA(Table1[Result])*100</f>
        <v>100</v>
      </c>
    </row>
    <row r="15" spans="2:10" x14ac:dyDescent="0.3">
      <c r="B15" s="10" t="s">
        <v>10</v>
      </c>
      <c r="C15" s="12">
        <v>646.33333333333326</v>
      </c>
      <c r="E15" s="10" t="s">
        <v>65</v>
      </c>
      <c r="F15" s="11">
        <v>30</v>
      </c>
    </row>
    <row r="16" spans="2:10" x14ac:dyDescent="0.3">
      <c r="B16" s="10" t="s">
        <v>17</v>
      </c>
      <c r="C16" s="12">
        <v>689.66666666666674</v>
      </c>
      <c r="E16" s="10" t="s">
        <v>59</v>
      </c>
      <c r="F16" s="11">
        <v>30</v>
      </c>
    </row>
    <row r="17" spans="2:9" x14ac:dyDescent="0.3">
      <c r="B17" s="10" t="s">
        <v>14</v>
      </c>
      <c r="C17" s="12">
        <v>582.66666666666663</v>
      </c>
    </row>
    <row r="18" spans="2:9" x14ac:dyDescent="0.3">
      <c r="B18" s="10" t="s">
        <v>20</v>
      </c>
      <c r="C18" s="12">
        <v>549</v>
      </c>
    </row>
    <row r="19" spans="2:9" x14ac:dyDescent="0.3">
      <c r="B19" s="10" t="s">
        <v>59</v>
      </c>
      <c r="C19" s="12">
        <v>2467.6666666666665</v>
      </c>
    </row>
    <row r="21" spans="2:9" x14ac:dyDescent="0.3">
      <c r="B21" s="8" t="s">
        <v>68</v>
      </c>
      <c r="C21" s="8"/>
      <c r="E21" s="8" t="s">
        <v>70</v>
      </c>
      <c r="F21" s="8"/>
      <c r="H21" s="7" t="s">
        <v>77</v>
      </c>
      <c r="I21" s="7"/>
    </row>
    <row r="23" spans="2:9" x14ac:dyDescent="0.3">
      <c r="B23" s="9" t="s">
        <v>58</v>
      </c>
      <c r="C23" t="s">
        <v>69</v>
      </c>
      <c r="E23" s="9" t="s">
        <v>58</v>
      </c>
      <c r="F23" t="s">
        <v>72</v>
      </c>
      <c r="H23" s="9" t="s">
        <v>58</v>
      </c>
      <c r="I23" t="s">
        <v>60</v>
      </c>
    </row>
    <row r="24" spans="2:9" x14ac:dyDescent="0.3">
      <c r="B24" s="10" t="s">
        <v>39</v>
      </c>
      <c r="C24" s="11">
        <v>286</v>
      </c>
      <c r="E24" s="10" t="s">
        <v>10</v>
      </c>
      <c r="F24" s="13">
        <v>6.4633333333333338</v>
      </c>
      <c r="H24" s="10" t="s">
        <v>73</v>
      </c>
      <c r="I24" s="11">
        <v>12</v>
      </c>
    </row>
    <row r="25" spans="2:9" x14ac:dyDescent="0.3">
      <c r="B25" s="10" t="s">
        <v>29</v>
      </c>
      <c r="C25" s="11">
        <v>285</v>
      </c>
      <c r="E25" s="10" t="s">
        <v>17</v>
      </c>
      <c r="F25" s="13">
        <v>6.8966666666666665</v>
      </c>
      <c r="H25" s="10" t="s">
        <v>74</v>
      </c>
      <c r="I25" s="11">
        <v>9</v>
      </c>
    </row>
    <row r="26" spans="2:9" x14ac:dyDescent="0.3">
      <c r="B26" s="10" t="s">
        <v>22</v>
      </c>
      <c r="C26" s="11">
        <v>279</v>
      </c>
      <c r="E26" s="10" t="s">
        <v>14</v>
      </c>
      <c r="F26" s="13">
        <v>5.8266666666666671</v>
      </c>
      <c r="H26" s="10" t="s">
        <v>75</v>
      </c>
      <c r="I26" s="11">
        <v>2</v>
      </c>
    </row>
    <row r="27" spans="2:9" x14ac:dyDescent="0.3">
      <c r="B27" s="10" t="s">
        <v>35</v>
      </c>
      <c r="C27" s="11">
        <v>276</v>
      </c>
      <c r="E27" s="10" t="s">
        <v>20</v>
      </c>
      <c r="F27" s="13">
        <v>5.49</v>
      </c>
      <c r="H27" s="10" t="s">
        <v>76</v>
      </c>
      <c r="I27" s="11">
        <v>7</v>
      </c>
    </row>
    <row r="28" spans="2:9" x14ac:dyDescent="0.3">
      <c r="B28" s="10" t="s">
        <v>15</v>
      </c>
      <c r="C28" s="11">
        <v>274</v>
      </c>
      <c r="E28" s="10" t="s">
        <v>59</v>
      </c>
      <c r="F28" s="13">
        <v>24.676666666666669</v>
      </c>
      <c r="H28" s="10" t="s">
        <v>59</v>
      </c>
      <c r="I28" s="11">
        <v>30</v>
      </c>
    </row>
    <row r="29" spans="2:9" x14ac:dyDescent="0.3">
      <c r="B29" s="10" t="s">
        <v>41</v>
      </c>
      <c r="C29" s="11">
        <v>271</v>
      </c>
    </row>
    <row r="30" spans="2:9" x14ac:dyDescent="0.3">
      <c r="B30" s="10" t="s">
        <v>18</v>
      </c>
      <c r="C30" s="11">
        <v>270</v>
      </c>
    </row>
    <row r="31" spans="2:9" x14ac:dyDescent="0.3">
      <c r="B31" s="10" t="s">
        <v>25</v>
      </c>
      <c r="C31" s="11">
        <v>269</v>
      </c>
    </row>
    <row r="32" spans="2:9" x14ac:dyDescent="0.3">
      <c r="B32" s="10" t="s">
        <v>31</v>
      </c>
      <c r="C32" s="11">
        <v>267</v>
      </c>
    </row>
    <row r="33" spans="2:3" x14ac:dyDescent="0.3">
      <c r="B33" s="10" t="s">
        <v>43</v>
      </c>
      <c r="C33" s="11">
        <v>265</v>
      </c>
    </row>
    <row r="34" spans="2:3" x14ac:dyDescent="0.3">
      <c r="B34" s="10" t="s">
        <v>59</v>
      </c>
      <c r="C34" s="11">
        <v>2742</v>
      </c>
    </row>
  </sheetData>
  <mergeCells count="7">
    <mergeCell ref="H21:I21"/>
    <mergeCell ref="B3:C3"/>
    <mergeCell ref="E3:F3"/>
    <mergeCell ref="B12:C12"/>
    <mergeCell ref="E12:F12"/>
    <mergeCell ref="E21:F21"/>
    <mergeCell ref="B21:C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3515-1BBB-4BEC-BDB5-3623AB500118}">
  <sheetPr>
    <pageSetUpPr autoPageBreaks="0"/>
  </sheetPr>
  <dimension ref="B1:P7"/>
  <sheetViews>
    <sheetView showGridLines="0" zoomScale="65" zoomScaleNormal="59" workbookViewId="0">
      <selection activeCell="V4" sqref="V4"/>
    </sheetView>
  </sheetViews>
  <sheetFormatPr defaultRowHeight="14.4" x14ac:dyDescent="0.3"/>
  <cols>
    <col min="5" max="5" width="2.33203125" style="18" customWidth="1"/>
    <col min="9" max="9" width="1.77734375" style="18" customWidth="1"/>
    <col min="13" max="13" width="1.5546875" style="18" customWidth="1"/>
  </cols>
  <sheetData>
    <row r="1" spans="2:16" x14ac:dyDescent="0.3">
      <c r="B1" s="16" t="s">
        <v>86</v>
      </c>
      <c r="C1" s="16"/>
      <c r="D1" s="16"/>
      <c r="E1" s="16"/>
      <c r="F1" s="16"/>
      <c r="G1" s="16"/>
      <c r="H1" s="16"/>
      <c r="I1" s="16"/>
      <c r="J1" s="16"/>
      <c r="K1" s="16"/>
      <c r="L1" s="16"/>
      <c r="M1" s="16"/>
      <c r="N1" s="16"/>
      <c r="O1" s="16"/>
      <c r="P1" s="24"/>
    </row>
    <row r="2" spans="2:16" x14ac:dyDescent="0.3">
      <c r="B2" s="16"/>
      <c r="C2" s="16"/>
      <c r="D2" s="16"/>
      <c r="E2" s="16"/>
      <c r="F2" s="16"/>
      <c r="G2" s="16"/>
      <c r="H2" s="16"/>
      <c r="I2" s="16"/>
      <c r="J2" s="16"/>
      <c r="K2" s="16"/>
      <c r="L2" s="16"/>
      <c r="M2" s="16"/>
      <c r="N2" s="16"/>
      <c r="O2" s="16"/>
      <c r="P2" s="24"/>
    </row>
    <row r="3" spans="2:16" x14ac:dyDescent="0.3">
      <c r="B3" s="16"/>
      <c r="C3" s="16"/>
      <c r="D3" s="16"/>
      <c r="E3" s="16"/>
      <c r="F3" s="16"/>
      <c r="G3" s="16"/>
      <c r="H3" s="16"/>
      <c r="I3" s="16"/>
      <c r="J3" s="16"/>
      <c r="K3" s="16"/>
      <c r="L3" s="16"/>
      <c r="M3" s="16"/>
      <c r="N3" s="16"/>
      <c r="O3" s="16"/>
      <c r="P3" s="24"/>
    </row>
    <row r="4" spans="2:16" s="18" customFormat="1" ht="21" x14ac:dyDescent="0.3">
      <c r="B4" s="17"/>
      <c r="C4" s="17"/>
      <c r="D4" s="17"/>
      <c r="E4" s="17"/>
      <c r="F4" s="17"/>
      <c r="G4" s="17"/>
      <c r="H4" s="17"/>
      <c r="I4" s="17"/>
      <c r="J4" s="17"/>
      <c r="K4" s="17"/>
      <c r="L4" s="17"/>
      <c r="M4" s="17"/>
      <c r="N4" s="17"/>
      <c r="O4" s="17"/>
    </row>
    <row r="5" spans="2:16" ht="21" x14ac:dyDescent="0.3">
      <c r="B5" s="21" t="s">
        <v>82</v>
      </c>
      <c r="C5" s="21"/>
      <c r="D5" s="21"/>
      <c r="E5" s="19"/>
      <c r="F5" s="22" t="s">
        <v>83</v>
      </c>
      <c r="G5" s="22"/>
      <c r="H5" s="22"/>
      <c r="I5" s="19"/>
      <c r="J5" s="23" t="s">
        <v>84</v>
      </c>
      <c r="K5" s="23"/>
      <c r="L5" s="23"/>
      <c r="M5" s="19"/>
      <c r="N5" s="20" t="s">
        <v>85</v>
      </c>
      <c r="O5" s="20"/>
      <c r="P5" s="20"/>
    </row>
    <row r="6" spans="2:16" ht="21" x14ac:dyDescent="0.3">
      <c r="B6" s="21"/>
      <c r="C6" s="21"/>
      <c r="D6" s="21"/>
      <c r="E6" s="19"/>
      <c r="F6" s="22"/>
      <c r="G6" s="22"/>
      <c r="H6" s="22"/>
      <c r="I6" s="19"/>
      <c r="J6" s="23"/>
      <c r="K6" s="23"/>
      <c r="L6" s="23"/>
      <c r="M6" s="19"/>
      <c r="N6" s="20"/>
      <c r="O6" s="20"/>
      <c r="P6" s="20"/>
    </row>
    <row r="7" spans="2:16" ht="21" x14ac:dyDescent="0.3">
      <c r="B7" s="21"/>
      <c r="C7" s="21"/>
      <c r="D7" s="21"/>
      <c r="E7" s="19"/>
      <c r="F7" s="22"/>
      <c r="G7" s="22"/>
      <c r="H7" s="22"/>
      <c r="I7" s="19"/>
      <c r="J7" s="23"/>
      <c r="K7" s="23"/>
      <c r="L7" s="23"/>
      <c r="M7" s="19"/>
      <c r="N7" s="20"/>
      <c r="O7" s="20"/>
      <c r="P7" s="20"/>
    </row>
  </sheetData>
  <mergeCells count="5">
    <mergeCell ref="B1:O3"/>
    <mergeCell ref="B5:D7"/>
    <mergeCell ref="F5:H7"/>
    <mergeCell ref="J5:L7"/>
    <mergeCell ref="N5:P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Burrewar Neha</dc:creator>
  <cp:lastModifiedBy>Burrewar Neha</cp:lastModifiedBy>
  <dcterms:created xsi:type="dcterms:W3CDTF">2026-06-22T06:45:27Z</dcterms:created>
  <dcterms:modified xsi:type="dcterms:W3CDTF">2026-06-22T11:40:54Z</dcterms:modified>
</cp:coreProperties>
</file>