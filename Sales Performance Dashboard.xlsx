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ehaburrewar\Desktop\excel-2026\"/>
    </mc:Choice>
  </mc:AlternateContent>
  <xr:revisionPtr revIDLastSave="0" documentId="8_{351F8B7F-442B-4E35-AC6B-B8E9895DC2DB}" xr6:coauthVersionLast="47" xr6:coauthVersionMax="47" xr10:uidLastSave="{00000000-0000-0000-0000-000000000000}"/>
  <bookViews>
    <workbookView xWindow="11424" yWindow="0" windowWidth="11712" windowHeight="12336" xr2:uid="{88AE0BF7-51D8-47F3-980F-07A7C57CD2BB}"/>
  </bookViews>
  <sheets>
    <sheet name="Data" sheetId="1" r:id="rId1"/>
    <sheet name="Pivot" sheetId="3" r:id="rId2"/>
    <sheet name="Dashboaed" sheetId="2" r:id="rId3"/>
  </sheets>
  <definedNames>
    <definedName name="_xlnm._FilterDatabase" localSheetId="0" hidden="1">Data!$A$3:$H$6</definedName>
    <definedName name="Slicer_City">#N/A</definedName>
    <definedName name="Slicer_Months">#N/A</definedName>
    <definedName name="Slicer_Product">#N/A</definedName>
  </definedNames>
  <calcPr calcId="191029"/>
  <pivotCaches>
    <pivotCache cacheId="4" r:id="rId4"/>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alcChain>
</file>

<file path=xl/sharedStrings.xml><?xml version="1.0" encoding="utf-8"?>
<sst xmlns="http://schemas.openxmlformats.org/spreadsheetml/2006/main" count="117" uniqueCount="35">
  <si>
    <t>Date</t>
  </si>
  <si>
    <t>City</t>
  </si>
  <si>
    <t>Product</t>
  </si>
  <si>
    <t>Category</t>
  </si>
  <si>
    <t>Salesperson</t>
  </si>
  <si>
    <t>Quantity</t>
  </si>
  <si>
    <t>Sales</t>
  </si>
  <si>
    <t>Profit</t>
  </si>
  <si>
    <t>Hyderabad</t>
  </si>
  <si>
    <t>Laptop</t>
  </si>
  <si>
    <t>Electronics</t>
  </si>
  <si>
    <t>Ravi</t>
  </si>
  <si>
    <t>Chennai</t>
  </si>
  <si>
    <t>Phone</t>
  </si>
  <si>
    <t>Priya</t>
  </si>
  <si>
    <t>Mumbai</t>
  </si>
  <si>
    <t>Tablet</t>
  </si>
  <si>
    <t>Arjun</t>
  </si>
  <si>
    <t>Total Sales</t>
  </si>
  <si>
    <t>Total Orders</t>
  </si>
  <si>
    <t>Average Profit</t>
  </si>
  <si>
    <t>Bangalore</t>
  </si>
  <si>
    <t>Delhi</t>
  </si>
  <si>
    <t>Total Profit</t>
  </si>
  <si>
    <t>Row Labels</t>
  </si>
  <si>
    <t>Grand Total</t>
  </si>
  <si>
    <t>Sum of Values2</t>
  </si>
  <si>
    <t>Sum of Sales</t>
  </si>
  <si>
    <t>Sum of Profit</t>
  </si>
  <si>
    <t>Jan</t>
  </si>
  <si>
    <t>Mar</t>
  </si>
  <si>
    <t>Feb</t>
  </si>
  <si>
    <t>Months</t>
  </si>
  <si>
    <t>SALES PERFORMANCE DASHBOARD</t>
  </si>
  <si>
    <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</si>
</sst>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8"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2"/>
      <color theme="0"/>
      <name val="Calibri"/>
      <family val="2"/>
      <scheme val="minor"/>
    </font>
  </fonts>
  <fills count="3">
    <fill>
      <patternFill patternType="none"/>
    </fill>
    <fill>
      <patternFill patternType="gray125"/>
    </fill>
    <fill>
      <patternFill patternType="solid">
        <fgColor theme="8" tint="-0.49998474074526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2"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2" fillId="0" borderId="0" xfId="0" applyFont="1"/>
    <xf numFmtId="0" fontId="0" fillId="0" borderId="0" xfId="0" applyAlignment="1">
      <alignment horizontal="right" vertical="center" wrapText="1"/>
    </xf>
    <xf numFmtId="0" fontId="2" fillId="0" borderId="0" xfId="0" applyFont="1" applyAlignment="1">
      <alignment horizontal="right" vertical="center" wrapText="1"/>
    </xf>
    <xf numFmtId="168" fontId="0" fillId="0" borderId="0" xfId="1"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0" fillId="0" borderId="0" xfId="0" applyBorder="1"/>
    <xf numFmtId="0" fontId="4" fillId="2" borderId="0" xfId="0" applyFont="1" applyFill="1" applyAlignment="1">
      <alignment horizontal="center" vertical="center"/>
    </xf>
    <xf numFmtId="0" fontId="4" fillId="0" borderId="0" xfId="0" applyFont="1" applyFill="1" applyAlignment="1">
      <alignment horizontal="center" vertical="center"/>
    </xf>
    <xf numFmtId="0" fontId="0" fillId="0" borderId="0" xfId="0" applyFill="1"/>
    <xf numFmtId="0" fontId="0" fillId="0" borderId="0" xfId="0" applyNumberFormat="1" applyAlignment="1">
      <alignment horizontal="right" vertical="center" wrapText="1"/>
    </xf>
  </cellXfs>
  <cellStyles count="2">
    <cellStyle name="Comma" xfId="1" builtinId="3"/>
    <cellStyle name="Normal" xfId="0" builtinId="0"/>
  </cellStyles>
  <dxfs count="11">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by City</a:t>
            </a:r>
            <a:endParaRPr lang="en-US" sz="1600" b="1">
              <a:solidFill>
                <a:schemeClr val="bg1"/>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5402559055118112"/>
          <c:w val="0.72312270341207352"/>
          <c:h val="0.53774387576552929"/>
        </c:manualLayout>
      </c:layout>
      <c:barChart>
        <c:barDir val="col"/>
        <c:grouping val="clustered"/>
        <c:varyColors val="0"/>
        <c:ser>
          <c:idx val="0"/>
          <c:order val="0"/>
          <c:tx>
            <c:v>Total</c:v>
          </c:tx>
          <c:spPr>
            <a:solidFill>
              <a:schemeClr val="accent1"/>
            </a:solidFill>
            <a:ln>
              <a:noFill/>
            </a:ln>
            <a:effectLst/>
          </c:spPr>
          <c:invertIfNegative val="0"/>
          <c:cat>
            <c:strLit>
              <c:ptCount val="5"/>
              <c:pt idx="0">
                <c:v>Bangalore</c:v>
              </c:pt>
              <c:pt idx="1">
                <c:v>Chennai</c:v>
              </c:pt>
              <c:pt idx="2">
                <c:v>Delhi</c:v>
              </c:pt>
              <c:pt idx="3">
                <c:v>Hyderabad</c:v>
              </c:pt>
              <c:pt idx="4">
                <c:v>Mumbai</c:v>
              </c:pt>
            </c:strLit>
          </c:cat>
          <c:val>
            <c:numLit>
              <c:formatCode>General</c:formatCode>
              <c:ptCount val="5"/>
              <c:pt idx="0">
                <c:v>705000</c:v>
              </c:pt>
              <c:pt idx="1">
                <c:v>730000</c:v>
              </c:pt>
              <c:pt idx="2">
                <c:v>405000</c:v>
              </c:pt>
              <c:pt idx="3">
                <c:v>885000</c:v>
              </c:pt>
              <c:pt idx="4">
                <c:v>495000</c:v>
              </c:pt>
            </c:numLit>
          </c:val>
          <c:extLst>
            <c:ext xmlns:c16="http://schemas.microsoft.com/office/drawing/2014/chart" uri="{C3380CC4-5D6E-409C-BE32-E72D297353CC}">
              <c16:uniqueId val="{00000000-3CAF-4822-8DAD-38C4F859A1FF}"/>
            </c:ext>
          </c:extLst>
        </c:ser>
        <c:dLbls>
          <c:showLegendKey val="0"/>
          <c:showVal val="0"/>
          <c:showCatName val="0"/>
          <c:showSerName val="0"/>
          <c:showPercent val="0"/>
          <c:showBubbleSize val="0"/>
        </c:dLbls>
        <c:gapWidth val="219"/>
        <c:overlap val="-27"/>
        <c:axId val="2081911023"/>
        <c:axId val="2081902863"/>
      </c:barChart>
      <c:catAx>
        <c:axId val="208191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02863"/>
        <c:crosses val="autoZero"/>
        <c:auto val="1"/>
        <c:lblAlgn val="ctr"/>
        <c:lblOffset val="100"/>
        <c:noMultiLvlLbl val="0"/>
      </c:catAx>
      <c:valAx>
        <c:axId val="208190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1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Dashboard.xlsx]Pivot!PivotTable3</c:name>
    <c:fmtId val="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Profit</a:t>
            </a:r>
            <a:r>
              <a:rPr lang="en-US" sz="1600" b="1" baseline="0">
                <a:solidFill>
                  <a:schemeClr val="bg1"/>
                </a:solidFill>
              </a:rPr>
              <a:t> by Product</a:t>
            </a:r>
          </a:p>
        </c:rich>
      </c:tx>
      <c:overlay val="0"/>
      <c:spPr>
        <a:solidFill>
          <a:schemeClr val="accent1">
            <a:lumMod val="50000"/>
          </a:schemeClr>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9203849518812"/>
          <c:y val="0.2401367016622922"/>
          <c:w val="0.73578937007874012"/>
          <c:h val="0.53774387576552929"/>
        </c:manualLayout>
      </c:layout>
      <c:barChart>
        <c:barDir val="bar"/>
        <c:grouping val="clustered"/>
        <c:varyColors val="0"/>
        <c:ser>
          <c:idx val="0"/>
          <c:order val="0"/>
          <c:tx>
            <c:strRef>
              <c:f>Pivot!$H$6</c:f>
              <c:strCache>
                <c:ptCount val="1"/>
                <c:pt idx="0">
                  <c:v>Total</c:v>
                </c:pt>
              </c:strCache>
            </c:strRef>
          </c:tx>
          <c:spPr>
            <a:solidFill>
              <a:schemeClr val="accent6"/>
            </a:solidFill>
            <a:ln>
              <a:noFill/>
            </a:ln>
            <a:effectLst/>
          </c:spPr>
          <c:invertIfNegative val="0"/>
          <c:cat>
            <c:strRef>
              <c:f>Pivot!$G$7:$G$10</c:f>
              <c:strCache>
                <c:ptCount val="3"/>
                <c:pt idx="0">
                  <c:v>Laptop</c:v>
                </c:pt>
                <c:pt idx="1">
                  <c:v>phone</c:v>
                </c:pt>
                <c:pt idx="2">
                  <c:v>Tablet</c:v>
                </c:pt>
              </c:strCache>
            </c:strRef>
          </c:cat>
          <c:val>
            <c:numRef>
              <c:f>Pivot!$H$7:$H$10</c:f>
              <c:numCache>
                <c:formatCode>General</c:formatCode>
                <c:ptCount val="3"/>
                <c:pt idx="0">
                  <c:v>320000</c:v>
                </c:pt>
                <c:pt idx="1">
                  <c:v>235000</c:v>
                </c:pt>
                <c:pt idx="2">
                  <c:v>91000</c:v>
                </c:pt>
              </c:numCache>
            </c:numRef>
          </c:val>
          <c:extLst>
            <c:ext xmlns:c16="http://schemas.microsoft.com/office/drawing/2014/chart" uri="{C3380CC4-5D6E-409C-BE32-E72D297353CC}">
              <c16:uniqueId val="{00000000-B023-4AFC-B676-AD515A86E2C3}"/>
            </c:ext>
          </c:extLst>
        </c:ser>
        <c:dLbls>
          <c:showLegendKey val="0"/>
          <c:showVal val="0"/>
          <c:showCatName val="0"/>
          <c:showSerName val="0"/>
          <c:showPercent val="0"/>
          <c:showBubbleSize val="0"/>
        </c:dLbls>
        <c:gapWidth val="150"/>
        <c:axId val="139899103"/>
        <c:axId val="139904383"/>
      </c:barChart>
      <c:catAx>
        <c:axId val="139899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4383"/>
        <c:crosses val="autoZero"/>
        <c:auto val="1"/>
        <c:lblAlgn val="ctr"/>
        <c:lblOffset val="100"/>
        <c:noMultiLvlLbl val="0"/>
      </c:catAx>
      <c:valAx>
        <c:axId val="13990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Dashboard.xlsx]Pivot!PivotTable7</c:name>
    <c:fmtId val="4"/>
  </c:pivotSource>
  <c:chart>
    <c:title>
      <c:tx>
        <c:rich>
          <a:bodyPr rot="0" spcFirstLastPara="1" vertOverflow="ellipsis" vert="horz" wrap="square" anchor="ctr" anchorCtr="1"/>
          <a:lstStyle/>
          <a:p>
            <a:pPr algn="r">
              <a:defRPr sz="1600" b="1" i="0" u="none" strike="noStrike" kern="1200" spc="0" baseline="0">
                <a:solidFill>
                  <a:schemeClr val="bg1"/>
                </a:solidFill>
                <a:latin typeface="+mn-lt"/>
                <a:ea typeface="+mn-ea"/>
                <a:cs typeface="+mn-cs"/>
              </a:defRPr>
            </a:pPr>
            <a:r>
              <a:rPr lang="en-IN" sz="1600" b="1">
                <a:solidFill>
                  <a:schemeClr val="bg1"/>
                </a:solidFill>
              </a:rPr>
              <a:t>Monthly</a:t>
            </a:r>
            <a:r>
              <a:rPr lang="en-IN" sz="1600" b="1" baseline="0">
                <a:solidFill>
                  <a:schemeClr val="bg1"/>
                </a:solidFill>
              </a:rPr>
              <a:t> Sales Trend</a:t>
            </a:r>
          </a:p>
          <a:p>
            <a:pPr algn="r">
              <a:defRPr sz="1600" b="1">
                <a:solidFill>
                  <a:schemeClr val="bg1"/>
                </a:solidFill>
              </a:defRPr>
            </a:pPr>
            <a:endParaRPr lang="en-IN" sz="1600" b="1">
              <a:solidFill>
                <a:schemeClr val="bg1"/>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lgn="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softEdge rad="25400"/>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Pivot!$C$17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a:softEdge rad="25400"/>
                </a:effectLst>
              </c:spPr>
            </c:marker>
            <c:bubble3D val="0"/>
            <c:spPr>
              <a:ln w="28575" cap="rnd">
                <a:solidFill>
                  <a:schemeClr val="accent1"/>
                </a:solidFill>
                <a:round/>
              </a:ln>
              <a:effectLst>
                <a:softEdge rad="25400"/>
              </a:effectLst>
            </c:spPr>
            <c:extLst>
              <c:ext xmlns:c16="http://schemas.microsoft.com/office/drawing/2014/chart" uri="{C3380CC4-5D6E-409C-BE32-E72D297353CC}">
                <c16:uniqueId val="{00000001-1B82-44E5-A94C-75FBCA1DCBAC}"/>
              </c:ext>
            </c:extLst>
          </c:dPt>
          <c:cat>
            <c:strRef>
              <c:f>Pivot!$B$18:$B$21</c:f>
              <c:strCache>
                <c:ptCount val="3"/>
                <c:pt idx="0">
                  <c:v>Jan</c:v>
                </c:pt>
                <c:pt idx="1">
                  <c:v>Feb</c:v>
                </c:pt>
                <c:pt idx="2">
                  <c:v>Mar</c:v>
                </c:pt>
              </c:strCache>
            </c:strRef>
          </c:cat>
          <c:val>
            <c:numRef>
              <c:f>Pivot!$C$18:$C$21</c:f>
              <c:numCache>
                <c:formatCode>General</c:formatCode>
                <c:ptCount val="3"/>
                <c:pt idx="0">
                  <c:v>1180000</c:v>
                </c:pt>
                <c:pt idx="1">
                  <c:v>960000</c:v>
                </c:pt>
                <c:pt idx="2">
                  <c:v>1080000</c:v>
                </c:pt>
              </c:numCache>
            </c:numRef>
          </c:val>
          <c:smooth val="0"/>
          <c:extLst>
            <c:ext xmlns:c16="http://schemas.microsoft.com/office/drawing/2014/chart" uri="{C3380CC4-5D6E-409C-BE32-E72D297353CC}">
              <c16:uniqueId val="{00000000-1B82-44E5-A94C-75FBCA1DCBAC}"/>
            </c:ext>
          </c:extLst>
        </c:ser>
        <c:dLbls>
          <c:showLegendKey val="0"/>
          <c:showVal val="0"/>
          <c:showCatName val="0"/>
          <c:showSerName val="0"/>
          <c:showPercent val="0"/>
          <c:showBubbleSize val="0"/>
        </c:dLbls>
        <c:marker val="1"/>
        <c:smooth val="0"/>
        <c:axId val="139911103"/>
        <c:axId val="139911583"/>
      </c:lineChart>
      <c:catAx>
        <c:axId val="13991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11583"/>
        <c:crosses val="autoZero"/>
        <c:auto val="1"/>
        <c:lblAlgn val="ctr"/>
        <c:lblOffset val="100"/>
        <c:noMultiLvlLbl val="0"/>
      </c:catAx>
      <c:valAx>
        <c:axId val="13991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1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474453</xdr:colOff>
      <xdr:row>13</xdr:row>
      <xdr:rowOff>86265</xdr:rowOff>
    </xdr:from>
    <xdr:to>
      <xdr:col>7</xdr:col>
      <xdr:colOff>273170</xdr:colOff>
      <xdr:row>28</xdr:row>
      <xdr:rowOff>62769</xdr:rowOff>
    </xdr:to>
    <xdr:graphicFrame macro="">
      <xdr:nvGraphicFramePr>
        <xdr:cNvPr id="2" name="Chart 1">
          <a:extLst>
            <a:ext uri="{FF2B5EF4-FFF2-40B4-BE49-F238E27FC236}">
              <a16:creationId xmlns:a16="http://schemas.microsoft.com/office/drawing/2014/main" id="{B2F7F64D-B9F8-4A6C-95D6-FD1CA723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517585</xdr:colOff>
      <xdr:row>13</xdr:row>
      <xdr:rowOff>121775</xdr:rowOff>
    </xdr:from>
    <xdr:to>
      <xdr:col>13</xdr:col>
      <xdr:colOff>316302</xdr:colOff>
      <xdr:row>28</xdr:row>
      <xdr:rowOff>86265</xdr:rowOff>
    </xdr:to>
    <xdr:graphicFrame macro="">
      <xdr:nvGraphicFramePr>
        <xdr:cNvPr id="3" name="Chart 2">
          <a:extLst>
            <a:ext uri="{FF2B5EF4-FFF2-40B4-BE49-F238E27FC236}">
              <a16:creationId xmlns:a16="http://schemas.microsoft.com/office/drawing/2014/main" id="{801D8086-A215-44C4-A7E0-C09D5AE30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546339</xdr:colOff>
      <xdr:row>31</xdr:row>
      <xdr:rowOff>3266</xdr:rowOff>
    </xdr:from>
    <xdr:to>
      <xdr:col>13</xdr:col>
      <xdr:colOff>373811</xdr:colOff>
      <xdr:row>43</xdr:row>
      <xdr:rowOff>115019</xdr:rowOff>
    </xdr:to>
    <xdr:graphicFrame macro="">
      <xdr:nvGraphicFramePr>
        <xdr:cNvPr id="4" name="Chart 3">
          <a:extLst>
            <a:ext uri="{FF2B5EF4-FFF2-40B4-BE49-F238E27FC236}">
              <a16:creationId xmlns:a16="http://schemas.microsoft.com/office/drawing/2014/main" id="{22839D8F-231F-478B-BEC4-EAB740691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4825</xdr:colOff>
      <xdr:row>46</xdr:row>
      <xdr:rowOff>141802</xdr:rowOff>
    </xdr:from>
    <xdr:to>
      <xdr:col>4</xdr:col>
      <xdr:colOff>613316</xdr:colOff>
      <xdr:row>53</xdr:row>
      <xdr:rowOff>113483</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128537C2-2148-4860-9C6E-21A0D3B945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11842" y="8497971"/>
              <a:ext cx="3178627" cy="1237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957741</xdr:colOff>
      <xdr:row>46</xdr:row>
      <xdr:rowOff>154941</xdr:rowOff>
    </xdr:from>
    <xdr:to>
      <xdr:col>8</xdr:col>
      <xdr:colOff>576147</xdr:colOff>
      <xdr:row>53</xdr:row>
      <xdr:rowOff>126187</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F159A40D-FA0F-4084-807C-F7BD0795E7F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34894" y="8511110"/>
              <a:ext cx="3066778" cy="1236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854926</xdr:colOff>
      <xdr:row>46</xdr:row>
      <xdr:rowOff>123217</xdr:rowOff>
    </xdr:from>
    <xdr:to>
      <xdr:col>13</xdr:col>
      <xdr:colOff>130097</xdr:colOff>
      <xdr:row>53</xdr:row>
      <xdr:rowOff>80085</xdr:rowOff>
    </xdr:to>
    <mc:AlternateContent xmlns:mc="http://schemas.openxmlformats.org/markup-compatibility/2006">
      <mc:Choice xmlns:a14="http://schemas.microsoft.com/office/drawing/2010/main" Requires="a14">
        <xdr:graphicFrame macro="">
          <xdr:nvGraphicFramePr>
            <xdr:cNvPr id="7" name="Months">
              <a:extLst>
                <a:ext uri="{FF2B5EF4-FFF2-40B4-BE49-F238E27FC236}">
                  <a16:creationId xmlns:a16="http://schemas.microsoft.com/office/drawing/2014/main" id="{D9E280D1-FBFF-44ED-8DE5-E5807E70472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480451" y="8479386"/>
              <a:ext cx="3201409" cy="122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466637</xdr:colOff>
      <xdr:row>5</xdr:row>
      <xdr:rowOff>45285</xdr:rowOff>
    </xdr:from>
    <xdr:to>
      <xdr:col>3</xdr:col>
      <xdr:colOff>79375</xdr:colOff>
      <xdr:row>10</xdr:row>
      <xdr:rowOff>95250</xdr:rowOff>
    </xdr:to>
    <xdr:sp macro="" textlink="">
      <xdr:nvSpPr>
        <xdr:cNvPr id="9" name="Rectangle: Rounded Corners 8">
          <a:extLst>
            <a:ext uri="{FF2B5EF4-FFF2-40B4-BE49-F238E27FC236}">
              <a16:creationId xmlns:a16="http://schemas.microsoft.com/office/drawing/2014/main" id="{D587EDAF-B38E-5EF9-6D13-5AADEAFB1579}"/>
            </a:ext>
          </a:extLst>
        </xdr:cNvPr>
        <xdr:cNvSpPr/>
      </xdr:nvSpPr>
      <xdr:spPr>
        <a:xfrm>
          <a:off x="466637" y="1013660"/>
          <a:ext cx="2168613" cy="100246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1">
                  <a:lumMod val="50000"/>
                </a:schemeClr>
              </a:solidFill>
            </a:rPr>
            <a:t>Total Sales</a:t>
          </a:r>
        </a:p>
        <a:p>
          <a:pPr algn="l"/>
          <a:r>
            <a:rPr lang="en-IN" sz="1600" b="1">
              <a:solidFill>
                <a:schemeClr val="accent1">
                  <a:lumMod val="50000"/>
                </a:schemeClr>
              </a:solidFill>
            </a:rPr>
            <a:t>₹32,20,000</a:t>
          </a:r>
        </a:p>
        <a:p>
          <a:pPr algn="l"/>
          <a:endParaRPr lang="en-IN" sz="1100"/>
        </a:p>
      </xdr:txBody>
    </xdr:sp>
    <xdr:clientData/>
  </xdr:twoCellAnchor>
  <xdr:twoCellAnchor>
    <xdr:from>
      <xdr:col>3</xdr:col>
      <xdr:colOff>488830</xdr:colOff>
      <xdr:row>5</xdr:row>
      <xdr:rowOff>39937</xdr:rowOff>
    </xdr:from>
    <xdr:to>
      <xdr:col>6</xdr:col>
      <xdr:colOff>359434</xdr:colOff>
      <xdr:row>9</xdr:row>
      <xdr:rowOff>158151</xdr:rowOff>
    </xdr:to>
    <xdr:sp macro="" textlink="">
      <xdr:nvSpPr>
        <xdr:cNvPr id="10" name="Rectangle: Rounded Corners 9">
          <a:extLst>
            <a:ext uri="{FF2B5EF4-FFF2-40B4-BE49-F238E27FC236}">
              <a16:creationId xmlns:a16="http://schemas.microsoft.com/office/drawing/2014/main" id="{0A3FB512-1044-F762-C994-1FC9F90989A4}"/>
            </a:ext>
          </a:extLst>
        </xdr:cNvPr>
        <xdr:cNvSpPr/>
      </xdr:nvSpPr>
      <xdr:spPr>
        <a:xfrm>
          <a:off x="3105509" y="988843"/>
          <a:ext cx="2314755" cy="86583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6">
                  <a:lumMod val="50000"/>
                </a:schemeClr>
              </a:solidFill>
            </a:rPr>
            <a:t>Total Profit</a:t>
          </a:r>
          <a:br>
            <a:rPr lang="en-IN" sz="1600" b="1">
              <a:solidFill>
                <a:schemeClr val="accent6">
                  <a:lumMod val="50000"/>
                </a:schemeClr>
              </a:solidFill>
            </a:rPr>
          </a:br>
          <a:r>
            <a:rPr lang="en-IN" sz="1600" b="1">
              <a:solidFill>
                <a:schemeClr val="accent6">
                  <a:lumMod val="50000"/>
                </a:schemeClr>
              </a:solidFill>
            </a:rPr>
            <a:t>₹6,46,000</a:t>
          </a:r>
        </a:p>
      </xdr:txBody>
    </xdr:sp>
    <xdr:clientData/>
  </xdr:twoCellAnchor>
  <xdr:twoCellAnchor>
    <xdr:from>
      <xdr:col>6</xdr:col>
      <xdr:colOff>503208</xdr:colOff>
      <xdr:row>5</xdr:row>
      <xdr:rowOff>15748</xdr:rowOff>
    </xdr:from>
    <xdr:to>
      <xdr:col>9</xdr:col>
      <xdr:colOff>455968</xdr:colOff>
      <xdr:row>9</xdr:row>
      <xdr:rowOff>172529</xdr:rowOff>
    </xdr:to>
    <xdr:sp macro="" textlink="">
      <xdr:nvSpPr>
        <xdr:cNvPr id="11" name="Rectangle: Rounded Corners 10">
          <a:extLst>
            <a:ext uri="{FF2B5EF4-FFF2-40B4-BE49-F238E27FC236}">
              <a16:creationId xmlns:a16="http://schemas.microsoft.com/office/drawing/2014/main" id="{E139C282-E71A-1C63-EEAE-18DA52F2F44D}"/>
            </a:ext>
          </a:extLst>
        </xdr:cNvPr>
        <xdr:cNvSpPr/>
      </xdr:nvSpPr>
      <xdr:spPr>
        <a:xfrm>
          <a:off x="5564038" y="964654"/>
          <a:ext cx="2411288" cy="904403"/>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2">
                  <a:lumMod val="75000"/>
                </a:schemeClr>
              </a:solidFill>
            </a:rPr>
            <a:t>Total Orders</a:t>
          </a:r>
          <a:br>
            <a:rPr lang="en-IN" sz="1600" b="1">
              <a:solidFill>
                <a:schemeClr val="accent2">
                  <a:lumMod val="75000"/>
                </a:schemeClr>
              </a:solidFill>
            </a:rPr>
          </a:br>
          <a:r>
            <a:rPr lang="en-IN" sz="1600" b="1">
              <a:solidFill>
                <a:schemeClr val="accent2">
                  <a:lumMod val="75000"/>
                </a:schemeClr>
              </a:solidFill>
            </a:rPr>
            <a:t>₹20</a:t>
          </a:r>
          <a:br>
            <a:rPr lang="en-IN"/>
          </a:br>
          <a:endParaRPr lang="en-IN" sz="1100"/>
        </a:p>
      </xdr:txBody>
    </xdr:sp>
    <xdr:clientData/>
  </xdr:twoCellAnchor>
  <xdr:twoCellAnchor>
    <xdr:from>
      <xdr:col>10</xdr:col>
      <xdr:colOff>14378</xdr:colOff>
      <xdr:row>5</xdr:row>
      <xdr:rowOff>32407</xdr:rowOff>
    </xdr:from>
    <xdr:to>
      <xdr:col>13</xdr:col>
      <xdr:colOff>128484</xdr:colOff>
      <xdr:row>10</xdr:row>
      <xdr:rowOff>0</xdr:rowOff>
    </xdr:to>
    <xdr:sp macro="" textlink="">
      <xdr:nvSpPr>
        <xdr:cNvPr id="12" name="Rectangle: Rounded Corners 11">
          <a:extLst>
            <a:ext uri="{FF2B5EF4-FFF2-40B4-BE49-F238E27FC236}">
              <a16:creationId xmlns:a16="http://schemas.microsoft.com/office/drawing/2014/main" id="{0DFE6939-978B-7DBF-E215-F34C5E0ABB14}"/>
            </a:ext>
          </a:extLst>
        </xdr:cNvPr>
        <xdr:cNvSpPr/>
      </xdr:nvSpPr>
      <xdr:spPr>
        <a:xfrm>
          <a:off x="8137586" y="981313"/>
          <a:ext cx="2558256" cy="90212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3">
                  <a:lumMod val="50000"/>
                </a:schemeClr>
              </a:solidFill>
            </a:rPr>
            <a:t>Average Profit</a:t>
          </a:r>
          <a:br>
            <a:rPr lang="en-IN" sz="1600" b="1">
              <a:solidFill>
                <a:schemeClr val="accent3">
                  <a:lumMod val="50000"/>
                </a:schemeClr>
              </a:solidFill>
            </a:rPr>
          </a:br>
          <a:r>
            <a:rPr lang="en-IN" sz="1600" b="1">
              <a:solidFill>
                <a:schemeClr val="accent3">
                  <a:lumMod val="50000"/>
                </a:schemeClr>
              </a:solidFill>
            </a:rPr>
            <a:t>₹32,300</a:t>
          </a:r>
        </a:p>
      </xdr:txBody>
    </xdr:sp>
    <xdr:clientData/>
  </xdr:twoCellAnchor>
  <xdr:twoCellAnchor editAs="oneCell">
    <xdr:from>
      <xdr:col>2</xdr:col>
      <xdr:colOff>222251</xdr:colOff>
      <xdr:row>6</xdr:row>
      <xdr:rowOff>0</xdr:rowOff>
    </xdr:from>
    <xdr:to>
      <xdr:col>2</xdr:col>
      <xdr:colOff>777875</xdr:colOff>
      <xdr:row>9</xdr:row>
      <xdr:rowOff>632</xdr:rowOff>
    </xdr:to>
    <xdr:pic>
      <xdr:nvPicPr>
        <xdr:cNvPr id="14" name="Graphic 13" descr="Bar chart with solid fill">
          <a:extLst>
            <a:ext uri="{FF2B5EF4-FFF2-40B4-BE49-F238E27FC236}">
              <a16:creationId xmlns:a16="http://schemas.microsoft.com/office/drawing/2014/main" id="{2751CEA2-9A70-BC3A-4373-4ACDA34C59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62126" y="1158875"/>
          <a:ext cx="555624" cy="568547"/>
        </a:xfrm>
        <a:prstGeom prst="rect">
          <a:avLst/>
        </a:prstGeom>
      </xdr:spPr>
    </xdr:pic>
    <xdr:clientData/>
  </xdr:twoCellAnchor>
  <xdr:twoCellAnchor editAs="oneCell">
    <xdr:from>
      <xdr:col>5</xdr:col>
      <xdr:colOff>349250</xdr:colOff>
      <xdr:row>5</xdr:row>
      <xdr:rowOff>127000</xdr:rowOff>
    </xdr:from>
    <xdr:to>
      <xdr:col>6</xdr:col>
      <xdr:colOff>174625</xdr:colOff>
      <xdr:row>9</xdr:row>
      <xdr:rowOff>95250</xdr:rowOff>
    </xdr:to>
    <xdr:pic>
      <xdr:nvPicPr>
        <xdr:cNvPr id="16" name="Graphic 15" descr="Piggy Bank with solid fill">
          <a:extLst>
            <a:ext uri="{FF2B5EF4-FFF2-40B4-BE49-F238E27FC236}">
              <a16:creationId xmlns:a16="http://schemas.microsoft.com/office/drawing/2014/main" id="{79CF0CF6-5389-4847-D592-36A0563B55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08500" y="1095375"/>
          <a:ext cx="682625" cy="730250"/>
        </a:xfrm>
        <a:prstGeom prst="rect">
          <a:avLst/>
        </a:prstGeom>
      </xdr:spPr>
    </xdr:pic>
    <xdr:clientData/>
  </xdr:twoCellAnchor>
  <xdr:twoCellAnchor editAs="oneCell">
    <xdr:from>
      <xdr:col>8</xdr:col>
      <xdr:colOff>508000</xdr:colOff>
      <xdr:row>5</xdr:row>
      <xdr:rowOff>127000</xdr:rowOff>
    </xdr:from>
    <xdr:to>
      <xdr:col>9</xdr:col>
      <xdr:colOff>317500</xdr:colOff>
      <xdr:row>9</xdr:row>
      <xdr:rowOff>47625</xdr:rowOff>
    </xdr:to>
    <xdr:pic>
      <xdr:nvPicPr>
        <xdr:cNvPr id="18" name="Graphic 17" descr="Shopping cart with solid fill">
          <a:extLst>
            <a:ext uri="{FF2B5EF4-FFF2-40B4-BE49-F238E27FC236}">
              <a16:creationId xmlns:a16="http://schemas.microsoft.com/office/drawing/2014/main" id="{1870254E-AAA5-FD61-DB06-B646DEEE90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27875" y="1095375"/>
          <a:ext cx="682625" cy="682625"/>
        </a:xfrm>
        <a:prstGeom prst="rect">
          <a:avLst/>
        </a:prstGeom>
      </xdr:spPr>
    </xdr:pic>
    <xdr:clientData/>
  </xdr:twoCellAnchor>
  <xdr:twoCellAnchor editAs="oneCell">
    <xdr:from>
      <xdr:col>12</xdr:col>
      <xdr:colOff>238125</xdr:colOff>
      <xdr:row>6</xdr:row>
      <xdr:rowOff>79375</xdr:rowOff>
    </xdr:from>
    <xdr:to>
      <xdr:col>12</xdr:col>
      <xdr:colOff>793750</xdr:colOff>
      <xdr:row>9</xdr:row>
      <xdr:rowOff>63500</xdr:rowOff>
    </xdr:to>
    <xdr:pic>
      <xdr:nvPicPr>
        <xdr:cNvPr id="20" name="Graphic 19" descr="Bar graph with upward trend with solid fill">
          <a:extLst>
            <a:ext uri="{FF2B5EF4-FFF2-40B4-BE49-F238E27FC236}">
              <a16:creationId xmlns:a16="http://schemas.microsoft.com/office/drawing/2014/main" id="{BBD17892-B8E9-D01D-CE8A-EA89B88C4F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37750" y="1238250"/>
          <a:ext cx="555625" cy="5556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burrewar" refreshedDate="46182.703612500001" createdVersion="8" refreshedVersion="8" minRefreshableVersion="3" recordCount="4" xr:uid="{2B4887FB-85DA-49F8-B531-C9E1AA23C498}">
  <cacheSource type="worksheet">
    <worksheetSource ref="A23:A27" sheet="Data"/>
  </cacheSource>
  <cacheFields count="2">
    <cacheField name="KPL" numFmtId="0">
      <sharedItems count="4">
        <s v="Total Sales"/>
        <s v="Total Profit"/>
        <s v="Total Orders"/>
        <s v="Average Profit"/>
      </sharedItems>
    </cacheField>
    <cacheField name="Values2" numFmtId="168">
      <sharedItems containsSemiMixedTypes="0" containsString="0" containsNumber="1" containsInteger="1" minValue="20" maxValue="3220000" count="4">
        <n v="3220000"/>
        <n v="646000"/>
        <n v="20"/>
        <n v="323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burrewar" refreshedDate="46182.717589814813" createdVersion="8" refreshedVersion="8" minRefreshableVersion="3" recordCount="20" xr:uid="{28492928-2CA2-429F-B7CC-8899CA32BBAC}">
  <cacheSource type="worksheet">
    <worksheetSource name="Table2"/>
  </cacheSource>
  <cacheFields count="9">
    <cacheField name="Date" numFmtId="15">
      <sharedItems containsSemiMixedTypes="0" containsNonDate="0" containsDate="1" containsString="0" minDate="2025-01-01T00:00:00" maxDate="2025-03-26T00:00:00"/>
    </cacheField>
    <cacheField name="City" numFmtId="0">
      <sharedItems count="5">
        <s v="Hyderabad"/>
        <s v="Chennai"/>
        <s v="Mumbai"/>
        <s v="Bangalore"/>
        <s v="Delhi"/>
      </sharedItems>
    </cacheField>
    <cacheField name="Product" numFmtId="0">
      <sharedItems count="3">
        <s v="Laptop"/>
        <s v="Phone"/>
        <s v="Tablet"/>
      </sharedItems>
    </cacheField>
    <cacheField name="Category" numFmtId="0">
      <sharedItems/>
    </cacheField>
    <cacheField name="Salesperson" numFmtId="0">
      <sharedItems/>
    </cacheField>
    <cacheField name="Quantity" numFmtId="0">
      <sharedItems containsSemiMixedTypes="0" containsString="0" containsNumber="1" containsInteger="1" minValue="2" maxValue="15"/>
    </cacheField>
    <cacheField name="Sales" numFmtId="0">
      <sharedItems containsSemiMixedTypes="0" containsString="0" containsNumber="1" containsInteger="1" minValue="50000" maxValue="350000"/>
    </cacheField>
    <cacheField name="Profit" numFmtId="0">
      <sharedItems containsSemiMixedTypes="0" containsString="0" containsNumber="1" containsInteger="1" minValue="10000" maxValue="70000"/>
    </cacheField>
    <cacheField name="Months" numFmtId="0">
      <sharedItems count="3">
        <s v="Jan"/>
        <s v="Feb"/>
        <s v="Mar"/>
      </sharedItems>
    </cacheField>
  </cacheFields>
  <extLst>
    <ext xmlns:x14="http://schemas.microsoft.com/office/spreadsheetml/2009/9/main" uri="{725AE2AE-9491-48be-B2B4-4EB974FC3084}">
      <x14:pivotCacheDefinition pivotCacheId="1179657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01-01T00:00:00"/>
    <x v="0"/>
    <x v="0"/>
    <s v="Electronics"/>
    <s v="Ravi"/>
    <n v="5"/>
    <n v="250000"/>
    <n v="50000"/>
    <x v="0"/>
  </r>
  <r>
    <d v="2025-01-03T00:00:00"/>
    <x v="1"/>
    <x v="1"/>
    <s v="Electronics"/>
    <s v="Priya"/>
    <n v="10"/>
    <n v="150000"/>
    <n v="30000"/>
    <x v="0"/>
  </r>
  <r>
    <d v="2025-01-05T00:00:00"/>
    <x v="2"/>
    <x v="2"/>
    <s v="Electronics"/>
    <s v="Arjun"/>
    <n v="7"/>
    <n v="70000"/>
    <n v="15000"/>
    <x v="0"/>
  </r>
  <r>
    <d v="2025-01-08T00:00:00"/>
    <x v="3"/>
    <x v="0"/>
    <s v="Electronics"/>
    <s v="Ravi"/>
    <n v="4"/>
    <n v="200000"/>
    <n v="40000"/>
    <x v="0"/>
  </r>
  <r>
    <d v="2025-01-10T00:00:00"/>
    <x v="4"/>
    <x v="1"/>
    <s v="Electronics"/>
    <s v="Priya"/>
    <n v="8"/>
    <n v="120000"/>
    <n v="25000"/>
    <x v="0"/>
  </r>
  <r>
    <d v="2025-01-15T00:00:00"/>
    <x v="0"/>
    <x v="2"/>
    <s v="Electronics"/>
    <s v="Arjun"/>
    <n v="6"/>
    <n v="60000"/>
    <n v="12000"/>
    <x v="0"/>
  </r>
  <r>
    <d v="2025-01-20T00:00:00"/>
    <x v="2"/>
    <x v="0"/>
    <s v="Electronics"/>
    <s v="Ravi"/>
    <n v="3"/>
    <n v="150000"/>
    <n v="30000"/>
    <x v="0"/>
  </r>
  <r>
    <d v="2025-01-25T00:00:00"/>
    <x v="1"/>
    <x v="1"/>
    <s v="Electronics"/>
    <s v="Priya"/>
    <n v="12"/>
    <n v="180000"/>
    <n v="36000"/>
    <x v="0"/>
  </r>
  <r>
    <d v="2025-02-01T00:00:00"/>
    <x v="3"/>
    <x v="2"/>
    <s v="Electronics"/>
    <s v="Arjun"/>
    <n v="9"/>
    <n v="90000"/>
    <n v="18000"/>
    <x v="1"/>
  </r>
  <r>
    <d v="2025-02-05T00:00:00"/>
    <x v="4"/>
    <x v="0"/>
    <s v="Electronics"/>
    <s v="Ravi"/>
    <n v="2"/>
    <n v="100000"/>
    <n v="20000"/>
    <x v="1"/>
  </r>
  <r>
    <d v="2025-02-10T00:00:00"/>
    <x v="0"/>
    <x v="1"/>
    <s v="Electronics"/>
    <s v="Priya"/>
    <n v="15"/>
    <n v="225000"/>
    <n v="45000"/>
    <x v="1"/>
  </r>
  <r>
    <d v="2025-02-15T00:00:00"/>
    <x v="2"/>
    <x v="2"/>
    <s v="Electronics"/>
    <s v="Arjun"/>
    <n v="8"/>
    <n v="80000"/>
    <n v="16000"/>
    <x v="1"/>
  </r>
  <r>
    <d v="2025-02-20T00:00:00"/>
    <x v="1"/>
    <x v="0"/>
    <s v="Electronics"/>
    <s v="Ravi"/>
    <n v="6"/>
    <n v="300000"/>
    <n v="60000"/>
    <x v="1"/>
  </r>
  <r>
    <d v="2025-02-25T00:00:00"/>
    <x v="3"/>
    <x v="1"/>
    <s v="Electronics"/>
    <s v="Priya"/>
    <n v="11"/>
    <n v="165000"/>
    <n v="33000"/>
    <x v="1"/>
  </r>
  <r>
    <d v="2025-03-01T00:00:00"/>
    <x v="4"/>
    <x v="2"/>
    <s v="Electronics"/>
    <s v="Arjun"/>
    <n v="5"/>
    <n v="50000"/>
    <n v="10000"/>
    <x v="2"/>
  </r>
  <r>
    <d v="2025-03-05T00:00:00"/>
    <x v="0"/>
    <x v="0"/>
    <s v="Electronics"/>
    <s v="Ravi"/>
    <n v="7"/>
    <n v="350000"/>
    <n v="70000"/>
    <x v="2"/>
  </r>
  <r>
    <d v="2025-03-10T00:00:00"/>
    <x v="2"/>
    <x v="1"/>
    <s v="Electronics"/>
    <s v="Priya"/>
    <n v="13"/>
    <n v="195000"/>
    <n v="39000"/>
    <x v="2"/>
  </r>
  <r>
    <d v="2025-03-15T00:00:00"/>
    <x v="1"/>
    <x v="2"/>
    <s v="Electronics"/>
    <s v="Arjun"/>
    <n v="10"/>
    <n v="100000"/>
    <n v="20000"/>
    <x v="2"/>
  </r>
  <r>
    <d v="2025-03-20T00:00:00"/>
    <x v="3"/>
    <x v="0"/>
    <s v="Electronics"/>
    <s v="Ravi"/>
    <n v="5"/>
    <n v="250000"/>
    <n v="50000"/>
    <x v="2"/>
  </r>
  <r>
    <d v="2025-03-25T00:00:00"/>
    <x v="4"/>
    <x v="1"/>
    <s v="Electronics"/>
    <s v="Priya"/>
    <n v="9"/>
    <n v="135000"/>
    <n v="27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137706-CA32-4229-ACC1-01EC41A518E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1" firstHeaderRow="1" firstDataRow="1" firstDataCol="1"/>
  <pivotFields count="2">
    <pivotField axis="axisRow" showAll="0">
      <items count="5">
        <item x="3"/>
        <item x="2"/>
        <item x="1"/>
        <item x="0"/>
        <item t="default"/>
      </items>
    </pivotField>
    <pivotField dataField="1" numFmtId="168" showAll="0">
      <items count="5">
        <item x="2"/>
        <item x="3"/>
        <item x="1"/>
        <item x="0"/>
        <item t="default"/>
      </items>
    </pivotField>
  </pivotFields>
  <rowFields count="1">
    <field x="0"/>
  </rowFields>
  <rowItems count="5">
    <i>
      <x/>
    </i>
    <i>
      <x v="1"/>
    </i>
    <i>
      <x v="2"/>
    </i>
    <i>
      <x v="3"/>
    </i>
    <i t="grand">
      <x/>
    </i>
  </rowItems>
  <colItems count="1">
    <i/>
  </colItems>
  <dataFields count="1">
    <dataField name="Sum of Values2" fld="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94A03-B51B-4A4D-91B7-F148CDB76D10}"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2" firstHeaderRow="1" firstDataRow="1" firstDataCol="1"/>
  <pivotFields count="9">
    <pivotField numFmtId="15" showAll="0"/>
    <pivotField axis="axisRow" showAll="0">
      <items count="6">
        <item x="3"/>
        <item x="1"/>
        <item x="4"/>
        <item x="0"/>
        <item x="2"/>
        <item t="default"/>
      </items>
    </pivotField>
    <pivotField showAll="0">
      <items count="4">
        <item x="0"/>
        <item x="1"/>
        <item x="2"/>
        <item t="default"/>
      </items>
    </pivotField>
    <pivotField showAll="0"/>
    <pivotField showAll="0"/>
    <pivotField showAll="0"/>
    <pivotField dataField="1" showAll="0"/>
    <pivotField showAll="0"/>
    <pivotField showAll="0">
      <items count="4">
        <item x="0"/>
        <item x="1"/>
        <item x="2"/>
        <item t="default"/>
      </items>
    </pivotField>
  </pivotFields>
  <rowFields count="1">
    <field x="1"/>
  </rowFields>
  <rowItems count="6">
    <i>
      <x/>
    </i>
    <i>
      <x v="1"/>
    </i>
    <i>
      <x v="2"/>
    </i>
    <i>
      <x v="3"/>
    </i>
    <i>
      <x v="4"/>
    </i>
    <i t="grand">
      <x/>
    </i>
  </rowItems>
  <colItems count="1">
    <i/>
  </colItems>
  <dataFields count="1">
    <dataField name="Sum of Sales"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19370-4C83-4406-8F93-5222E4D148E2}"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6:H10" firstHeaderRow="1" firstDataRow="1" firstDataCol="1"/>
  <pivotFields count="9">
    <pivotField numFmtId="15" showAll="0"/>
    <pivotField showAll="0">
      <items count="6">
        <item x="3"/>
        <item x="1"/>
        <item x="4"/>
        <item x="0"/>
        <item x="2"/>
        <item t="default"/>
      </items>
    </pivotField>
    <pivotField axis="axisRow" showAll="0" defaultSubtotal="0">
      <items count="3">
        <item x="0"/>
        <item n="phone" x="1"/>
        <item x="2"/>
      </items>
    </pivotField>
    <pivotField showAll="0"/>
    <pivotField showAll="0"/>
    <pivotField showAll="0"/>
    <pivotField showAll="0"/>
    <pivotField dataField="1" showAll="0"/>
    <pivotField showAll="0">
      <items count="4">
        <item x="0"/>
        <item x="1"/>
        <item x="2"/>
        <item t="default"/>
      </items>
    </pivotField>
  </pivotFields>
  <rowFields count="1">
    <field x="2"/>
  </rowFields>
  <rowItems count="4">
    <i>
      <x/>
    </i>
    <i>
      <x v="1"/>
    </i>
    <i>
      <x v="2"/>
    </i>
    <i t="grand">
      <x/>
    </i>
  </rowItems>
  <colItems count="1">
    <i/>
  </colItems>
  <dataFields count="1">
    <dataField name="Sum of Profit"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EBCCA-8E28-4C93-B4EF-F7A296BBFFF3}"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C21" firstHeaderRow="1" firstDataRow="1" firstDataCol="1"/>
  <pivotFields count="9">
    <pivotField numFmtId="15" showAll="0"/>
    <pivotField showAll="0">
      <items count="6">
        <item x="3"/>
        <item x="1"/>
        <item x="4"/>
        <item x="0"/>
        <item x="2"/>
        <item t="default"/>
      </items>
    </pivotField>
    <pivotField showAll="0">
      <items count="4">
        <item x="0"/>
        <item x="1"/>
        <item x="2"/>
        <item t="default"/>
      </items>
    </pivotField>
    <pivotField showAll="0"/>
    <pivotField showAll="0"/>
    <pivotField showAll="0"/>
    <pivotField dataField="1" showAll="0"/>
    <pivotField showAll="0"/>
    <pivotField axis="axisRow" showAll="0">
      <items count="4">
        <item x="0"/>
        <item x="1"/>
        <item x="2"/>
        <item t="default"/>
      </items>
    </pivotField>
  </pivotFields>
  <rowFields count="1">
    <field x="8"/>
  </rowFields>
  <rowItems count="4">
    <i>
      <x/>
    </i>
    <i>
      <x v="1"/>
    </i>
    <i>
      <x v="2"/>
    </i>
    <i t="grand">
      <x/>
    </i>
  </rowItems>
  <colItems count="1">
    <i/>
  </colItems>
  <dataFields count="1">
    <dataField name="Sum of Sales" fld="6"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53D8399-7347-4769-B3B6-541914C1375D}" sourceName="City">
  <pivotTables>
    <pivotTable tabId="3" name="PivotTable7"/>
    <pivotTable tabId="3" name="PivotTable3"/>
    <pivotTable tabId="3" name="PivotTable8"/>
  </pivotTables>
  <data>
    <tabular pivotCacheId="1179657539">
      <items count="5">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61EE6E-17AD-41B1-8551-31B432D6B85E}" sourceName="Product">
  <pivotTables>
    <pivotTable tabId="3" name="PivotTable7"/>
    <pivotTable tabId="3" name="PivotTable3"/>
    <pivotTable tabId="3" name="PivotTable8"/>
  </pivotTables>
  <data>
    <tabular pivotCacheId="117965753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1910C807-83D7-409F-9DB1-2DEA7DC045F1}" sourceName="Months">
  <pivotTables>
    <pivotTable tabId="3" name="PivotTable7"/>
    <pivotTable tabId="3" name="PivotTable3"/>
    <pivotTable tabId="3" name="PivotTable8"/>
  </pivotTables>
  <data>
    <tabular pivotCacheId="11796575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39CD23-FEEA-4CB5-B5C6-3D1AFCEA6964}" cache="Slicer_City" caption="City" columnCount="3" style="SlicerStyleLight5" rowHeight="234950"/>
  <slicer name="Product" xr10:uid="{7654E292-80DE-478E-AA05-EF303A896D54}" cache="Slicer_Product" caption="Product" columnCount="3" style="SlicerStyleLight6" rowHeight="234950"/>
  <slicer name="Months" xr10:uid="{7A2949AE-6FE9-438E-9990-F80BEA868369}" cache="Slicer_Months" caption="Months"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7FB1BB-AEC7-4902-944C-8F76C503C73E}" name="Table2" displayName="Table2" ref="A1:I21" totalsRowShown="0" headerRowDxfId="10" dataDxfId="9">
  <autoFilter ref="A1:I21" xr:uid="{6D7FB1BB-AEC7-4902-944C-8F76C503C73E}"/>
  <tableColumns count="9">
    <tableColumn id="1" xr3:uid="{EEFC0782-7C96-4C92-B0A5-205B65099912}" name="Date" dataDxfId="8"/>
    <tableColumn id="2" xr3:uid="{F48624DA-A2C1-440D-961F-FDF467B5EDDB}" name="City" dataDxfId="7"/>
    <tableColumn id="3" xr3:uid="{24150D89-5557-4899-AAA3-688324F23559}" name="Product" dataDxfId="6"/>
    <tableColumn id="4" xr3:uid="{59ED35E8-5DF0-4434-9E42-8E9552B1E172}" name="Category" dataDxfId="5"/>
    <tableColumn id="5" xr3:uid="{68E7D647-1F07-4942-9787-AECA8A224A8E}" name="Salesperson" dataDxfId="4"/>
    <tableColumn id="6" xr3:uid="{C810FA8E-FE72-4008-A713-D867FE58782D}" name="Quantity" dataDxfId="3"/>
    <tableColumn id="7" xr3:uid="{0C857422-1697-4A33-9D33-ACCC3139FF3C}" name="Sales" dataDxfId="2"/>
    <tableColumn id="8" xr3:uid="{E77D6AD5-A45F-4DAC-9713-B9C0D6689989}" name="Profit" dataDxfId="1"/>
    <tableColumn id="10" xr3:uid="{652C4EC6-49FC-4F59-8C05-A5F6605D8A63}" name="Months" dataDxfId="0">
      <calculatedColumnFormula>TEXT(Table2[[#This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08D8-3B3F-4440-99FB-18483DEBA7FE}">
  <dimension ref="A1:J48"/>
  <sheetViews>
    <sheetView tabSelected="1" zoomScale="82" workbookViewId="0">
      <selection activeCell="C1" sqref="C1"/>
    </sheetView>
  </sheetViews>
  <sheetFormatPr defaultRowHeight="14.4" x14ac:dyDescent="0.3"/>
  <cols>
    <col min="1" max="1" width="13" bestFit="1" customWidth="1"/>
    <col min="2" max="2" width="22.33203125" bestFit="1" customWidth="1"/>
    <col min="3" max="3" width="19.6640625" bestFit="1" customWidth="1"/>
    <col min="4" max="4" width="17.33203125" bestFit="1" customWidth="1"/>
    <col min="5" max="5" width="19.6640625" bestFit="1" customWidth="1"/>
    <col min="6" max="6" width="17.33203125" bestFit="1" customWidth="1"/>
    <col min="7" max="7" width="13.109375" bestFit="1" customWidth="1"/>
    <col min="8" max="8" width="12.109375" bestFit="1" customWidth="1"/>
    <col min="9" max="9" width="17.77734375" bestFit="1" customWidth="1"/>
    <col min="10" max="10" width="19" bestFit="1" customWidth="1"/>
    <col min="11" max="11" width="14.109375" bestFit="1" customWidth="1"/>
    <col min="12" max="12" width="13.88671875" bestFit="1" customWidth="1"/>
    <col min="15" max="15" width="22.33203125" bestFit="1" customWidth="1"/>
    <col min="16" max="16" width="17.33203125" bestFit="1" customWidth="1"/>
  </cols>
  <sheetData>
    <row r="1" spans="1:10" x14ac:dyDescent="0.3">
      <c r="A1" s="1" t="s">
        <v>0</v>
      </c>
      <c r="B1" s="1" t="s">
        <v>1</v>
      </c>
      <c r="C1" s="1" t="s">
        <v>2</v>
      </c>
      <c r="D1" s="1" t="s">
        <v>3</v>
      </c>
      <c r="E1" s="1" t="s">
        <v>4</v>
      </c>
      <c r="F1" s="6" t="s">
        <v>5</v>
      </c>
      <c r="G1" s="6" t="s">
        <v>6</v>
      </c>
      <c r="H1" s="6" t="s">
        <v>7</v>
      </c>
      <c r="I1" s="6" t="s">
        <v>32</v>
      </c>
      <c r="J1" s="6"/>
    </row>
    <row r="2" spans="1:10" x14ac:dyDescent="0.3">
      <c r="A2" s="2">
        <v>45658</v>
      </c>
      <c r="B2" s="3" t="s">
        <v>8</v>
      </c>
      <c r="C2" s="3" t="s">
        <v>9</v>
      </c>
      <c r="D2" s="3" t="s">
        <v>10</v>
      </c>
      <c r="E2" s="3" t="s">
        <v>11</v>
      </c>
      <c r="F2" s="5">
        <v>5</v>
      </c>
      <c r="G2" s="5">
        <v>250000</v>
      </c>
      <c r="H2" s="5">
        <v>50000</v>
      </c>
      <c r="I2" s="5" t="str">
        <f>TEXT(Table2[[#This Row],[Date]],"mmm")</f>
        <v>Jan</v>
      </c>
      <c r="J2" s="5"/>
    </row>
    <row r="3" spans="1:10" x14ac:dyDescent="0.3">
      <c r="A3" s="2">
        <v>45660</v>
      </c>
      <c r="B3" s="3" t="s">
        <v>12</v>
      </c>
      <c r="C3" s="3" t="s">
        <v>13</v>
      </c>
      <c r="D3" s="3" t="s">
        <v>10</v>
      </c>
      <c r="E3" s="3" t="s">
        <v>14</v>
      </c>
      <c r="F3" s="5">
        <v>10</v>
      </c>
      <c r="G3" s="5">
        <v>150000</v>
      </c>
      <c r="H3" s="5">
        <v>30000</v>
      </c>
      <c r="I3" s="5" t="str">
        <f>TEXT(Table2[[#This Row],[Date]],"mmm")</f>
        <v>Jan</v>
      </c>
      <c r="J3" s="5"/>
    </row>
    <row r="4" spans="1:10" x14ac:dyDescent="0.3">
      <c r="A4" s="2">
        <v>45662</v>
      </c>
      <c r="B4" s="3" t="s">
        <v>15</v>
      </c>
      <c r="C4" s="3" t="s">
        <v>16</v>
      </c>
      <c r="D4" s="3" t="s">
        <v>10</v>
      </c>
      <c r="E4" s="3" t="s">
        <v>17</v>
      </c>
      <c r="F4" s="5">
        <v>7</v>
      </c>
      <c r="G4" s="5">
        <v>70000</v>
      </c>
      <c r="H4" s="5">
        <v>15000</v>
      </c>
      <c r="I4" s="5" t="str">
        <f>TEXT(Table2[[#This Row],[Date]],"mmm")</f>
        <v>Jan</v>
      </c>
      <c r="J4" s="5"/>
    </row>
    <row r="5" spans="1:10" x14ac:dyDescent="0.3">
      <c r="A5" s="2">
        <v>45665</v>
      </c>
      <c r="B5" s="3" t="s">
        <v>21</v>
      </c>
      <c r="C5" s="3" t="s">
        <v>9</v>
      </c>
      <c r="D5" s="3" t="s">
        <v>10</v>
      </c>
      <c r="E5" s="3" t="s">
        <v>11</v>
      </c>
      <c r="F5" s="5">
        <v>4</v>
      </c>
      <c r="G5" s="5">
        <v>200000</v>
      </c>
      <c r="H5" s="5">
        <v>40000</v>
      </c>
      <c r="I5" s="5" t="str">
        <f>TEXT(Table2[[#This Row],[Date]],"mmm")</f>
        <v>Jan</v>
      </c>
      <c r="J5" s="5"/>
    </row>
    <row r="6" spans="1:10" x14ac:dyDescent="0.3">
      <c r="A6" s="2">
        <v>45667</v>
      </c>
      <c r="B6" s="3" t="s">
        <v>22</v>
      </c>
      <c r="C6" s="3" t="s">
        <v>13</v>
      </c>
      <c r="D6" s="3" t="s">
        <v>10</v>
      </c>
      <c r="E6" s="3" t="s">
        <v>14</v>
      </c>
      <c r="F6" s="5">
        <v>8</v>
      </c>
      <c r="G6" s="5">
        <v>120000</v>
      </c>
      <c r="H6" s="5">
        <v>25000</v>
      </c>
      <c r="I6" s="25" t="str">
        <f>TEXT(Table2[[#This Row],[Date]],"mmm")</f>
        <v>Jan</v>
      </c>
      <c r="J6" s="5"/>
    </row>
    <row r="7" spans="1:10" x14ac:dyDescent="0.3">
      <c r="A7" s="2">
        <v>45672</v>
      </c>
      <c r="B7" s="3" t="s">
        <v>8</v>
      </c>
      <c r="C7" s="3" t="s">
        <v>16</v>
      </c>
      <c r="D7" s="3" t="s">
        <v>10</v>
      </c>
      <c r="E7" s="3" t="s">
        <v>17</v>
      </c>
      <c r="F7" s="5">
        <v>6</v>
      </c>
      <c r="G7" s="5">
        <v>60000</v>
      </c>
      <c r="H7" s="5">
        <v>12000</v>
      </c>
      <c r="I7" s="25" t="str">
        <f>TEXT(Table2[[#This Row],[Date]],"mmm")</f>
        <v>Jan</v>
      </c>
      <c r="J7" s="5"/>
    </row>
    <row r="8" spans="1:10" x14ac:dyDescent="0.3">
      <c r="A8" s="2">
        <v>45677</v>
      </c>
      <c r="B8" s="3" t="s">
        <v>15</v>
      </c>
      <c r="C8" s="3" t="s">
        <v>9</v>
      </c>
      <c r="D8" s="3" t="s">
        <v>10</v>
      </c>
      <c r="E8" s="3" t="s">
        <v>11</v>
      </c>
      <c r="F8" s="5">
        <v>3</v>
      </c>
      <c r="G8" s="5">
        <v>150000</v>
      </c>
      <c r="H8" s="5">
        <v>30000</v>
      </c>
      <c r="I8" s="25" t="str">
        <f>TEXT(Table2[[#This Row],[Date]],"mmm")</f>
        <v>Jan</v>
      </c>
      <c r="J8" s="5"/>
    </row>
    <row r="9" spans="1:10" x14ac:dyDescent="0.3">
      <c r="A9" s="2">
        <v>45682</v>
      </c>
      <c r="B9" s="3" t="s">
        <v>12</v>
      </c>
      <c r="C9" s="3" t="s">
        <v>13</v>
      </c>
      <c r="D9" s="3" t="s">
        <v>10</v>
      </c>
      <c r="E9" s="3" t="s">
        <v>14</v>
      </c>
      <c r="F9" s="5">
        <v>12</v>
      </c>
      <c r="G9" s="5">
        <v>180000</v>
      </c>
      <c r="H9" s="5">
        <v>36000</v>
      </c>
      <c r="I9" s="25" t="str">
        <f>TEXT(Table2[[#This Row],[Date]],"mmm")</f>
        <v>Jan</v>
      </c>
      <c r="J9" s="5"/>
    </row>
    <row r="10" spans="1:10" x14ac:dyDescent="0.3">
      <c r="A10" s="2">
        <v>45689</v>
      </c>
      <c r="B10" s="3" t="s">
        <v>21</v>
      </c>
      <c r="C10" s="3" t="s">
        <v>16</v>
      </c>
      <c r="D10" s="3" t="s">
        <v>10</v>
      </c>
      <c r="E10" s="3" t="s">
        <v>17</v>
      </c>
      <c r="F10" s="5">
        <v>9</v>
      </c>
      <c r="G10" s="5">
        <v>90000</v>
      </c>
      <c r="H10" s="5">
        <v>18000</v>
      </c>
      <c r="I10" s="25" t="str">
        <f>TEXT(Table2[[#This Row],[Date]],"mmm")</f>
        <v>Feb</v>
      </c>
      <c r="J10" s="5"/>
    </row>
    <row r="11" spans="1:10" x14ac:dyDescent="0.3">
      <c r="A11" s="2">
        <v>45693</v>
      </c>
      <c r="B11" s="3" t="s">
        <v>22</v>
      </c>
      <c r="C11" s="3" t="s">
        <v>9</v>
      </c>
      <c r="D11" s="3" t="s">
        <v>10</v>
      </c>
      <c r="E11" s="3" t="s">
        <v>11</v>
      </c>
      <c r="F11" s="5">
        <v>2</v>
      </c>
      <c r="G11" s="5">
        <v>100000</v>
      </c>
      <c r="H11" s="5">
        <v>20000</v>
      </c>
      <c r="I11" s="5" t="str">
        <f>TEXT(Table2[[#This Row],[Date]],"mmm")</f>
        <v>Feb</v>
      </c>
      <c r="J11" s="5"/>
    </row>
    <row r="12" spans="1:10" x14ac:dyDescent="0.3">
      <c r="A12" s="2">
        <v>45698</v>
      </c>
      <c r="B12" s="3" t="s">
        <v>8</v>
      </c>
      <c r="C12" s="3" t="s">
        <v>13</v>
      </c>
      <c r="D12" s="3" t="s">
        <v>10</v>
      </c>
      <c r="E12" s="3" t="s">
        <v>14</v>
      </c>
      <c r="F12" s="5">
        <v>15</v>
      </c>
      <c r="G12" s="5">
        <v>225000</v>
      </c>
      <c r="H12" s="5">
        <v>45000</v>
      </c>
      <c r="I12" s="5" t="str">
        <f>TEXT(Table2[[#This Row],[Date]],"mmm")</f>
        <v>Feb</v>
      </c>
      <c r="J12" s="5"/>
    </row>
    <row r="13" spans="1:10" x14ac:dyDescent="0.3">
      <c r="A13" s="2">
        <v>45703</v>
      </c>
      <c r="B13" s="3" t="s">
        <v>15</v>
      </c>
      <c r="C13" s="3" t="s">
        <v>16</v>
      </c>
      <c r="D13" s="3" t="s">
        <v>10</v>
      </c>
      <c r="E13" s="3" t="s">
        <v>17</v>
      </c>
      <c r="F13" s="5">
        <v>8</v>
      </c>
      <c r="G13" s="5">
        <v>80000</v>
      </c>
      <c r="H13" s="5">
        <v>16000</v>
      </c>
      <c r="I13" s="5" t="str">
        <f>TEXT(Table2[[#This Row],[Date]],"mmm")</f>
        <v>Feb</v>
      </c>
      <c r="J13" s="5"/>
    </row>
    <row r="14" spans="1:10" x14ac:dyDescent="0.3">
      <c r="A14" s="2">
        <v>45708</v>
      </c>
      <c r="B14" s="3" t="s">
        <v>12</v>
      </c>
      <c r="C14" s="3" t="s">
        <v>9</v>
      </c>
      <c r="D14" s="3" t="s">
        <v>10</v>
      </c>
      <c r="E14" s="3" t="s">
        <v>11</v>
      </c>
      <c r="F14" s="5">
        <v>6</v>
      </c>
      <c r="G14" s="5">
        <v>300000</v>
      </c>
      <c r="H14" s="5">
        <v>60000</v>
      </c>
      <c r="I14" s="5" t="str">
        <f>TEXT(Table2[[#This Row],[Date]],"mmm")</f>
        <v>Feb</v>
      </c>
      <c r="J14" s="5"/>
    </row>
    <row r="15" spans="1:10" x14ac:dyDescent="0.3">
      <c r="A15" s="2">
        <v>45713</v>
      </c>
      <c r="B15" s="3" t="s">
        <v>21</v>
      </c>
      <c r="C15" s="3" t="s">
        <v>13</v>
      </c>
      <c r="D15" s="3" t="s">
        <v>10</v>
      </c>
      <c r="E15" s="3" t="s">
        <v>14</v>
      </c>
      <c r="F15" s="5">
        <v>11</v>
      </c>
      <c r="G15" s="5">
        <v>165000</v>
      </c>
      <c r="H15" s="5">
        <v>33000</v>
      </c>
      <c r="I15" s="5" t="str">
        <f>TEXT(Table2[[#This Row],[Date]],"mmm")</f>
        <v>Feb</v>
      </c>
      <c r="J15" s="5"/>
    </row>
    <row r="16" spans="1:10" x14ac:dyDescent="0.3">
      <c r="A16" s="2">
        <v>45717</v>
      </c>
      <c r="B16" s="3" t="s">
        <v>22</v>
      </c>
      <c r="C16" s="3" t="s">
        <v>16</v>
      </c>
      <c r="D16" s="3" t="s">
        <v>10</v>
      </c>
      <c r="E16" s="3" t="s">
        <v>17</v>
      </c>
      <c r="F16" s="5">
        <v>5</v>
      </c>
      <c r="G16" s="5">
        <v>50000</v>
      </c>
      <c r="H16" s="5">
        <v>10000</v>
      </c>
      <c r="I16" s="5" t="str">
        <f>TEXT(Table2[[#This Row],[Date]],"mmm")</f>
        <v>Mar</v>
      </c>
      <c r="J16" s="5"/>
    </row>
    <row r="17" spans="1:10" x14ac:dyDescent="0.3">
      <c r="A17" s="2">
        <v>45721</v>
      </c>
      <c r="B17" s="3" t="s">
        <v>8</v>
      </c>
      <c r="C17" s="3" t="s">
        <v>9</v>
      </c>
      <c r="D17" s="3" t="s">
        <v>10</v>
      </c>
      <c r="E17" s="3" t="s">
        <v>11</v>
      </c>
      <c r="F17" s="5">
        <v>7</v>
      </c>
      <c r="G17" s="5">
        <v>350000</v>
      </c>
      <c r="H17" s="5">
        <v>70000</v>
      </c>
      <c r="I17" s="5" t="str">
        <f>TEXT(Table2[[#This Row],[Date]],"mmm")</f>
        <v>Mar</v>
      </c>
      <c r="J17" s="5"/>
    </row>
    <row r="18" spans="1:10" x14ac:dyDescent="0.3">
      <c r="A18" s="2">
        <v>45726</v>
      </c>
      <c r="B18" s="3" t="s">
        <v>15</v>
      </c>
      <c r="C18" s="3" t="s">
        <v>13</v>
      </c>
      <c r="D18" s="3" t="s">
        <v>10</v>
      </c>
      <c r="E18" s="3" t="s">
        <v>14</v>
      </c>
      <c r="F18" s="5">
        <v>13</v>
      </c>
      <c r="G18" s="5">
        <v>195000</v>
      </c>
      <c r="H18" s="5">
        <v>39000</v>
      </c>
      <c r="I18" s="5" t="str">
        <f>TEXT(Table2[[#This Row],[Date]],"mmm")</f>
        <v>Mar</v>
      </c>
      <c r="J18" s="5"/>
    </row>
    <row r="19" spans="1:10" x14ac:dyDescent="0.3">
      <c r="A19" s="2">
        <v>45731</v>
      </c>
      <c r="B19" s="3" t="s">
        <v>12</v>
      </c>
      <c r="C19" s="3" t="s">
        <v>16</v>
      </c>
      <c r="D19" s="3" t="s">
        <v>10</v>
      </c>
      <c r="E19" s="3" t="s">
        <v>17</v>
      </c>
      <c r="F19" s="5">
        <v>10</v>
      </c>
      <c r="G19" s="5">
        <v>100000</v>
      </c>
      <c r="H19" s="5">
        <v>20000</v>
      </c>
      <c r="I19" s="5" t="str">
        <f>TEXT(Table2[[#This Row],[Date]],"mmm")</f>
        <v>Mar</v>
      </c>
      <c r="J19" s="5"/>
    </row>
    <row r="20" spans="1:10" x14ac:dyDescent="0.3">
      <c r="A20" s="2">
        <v>45736</v>
      </c>
      <c r="B20" s="3" t="s">
        <v>21</v>
      </c>
      <c r="C20" s="3" t="s">
        <v>9</v>
      </c>
      <c r="D20" s="3" t="s">
        <v>10</v>
      </c>
      <c r="E20" s="3" t="s">
        <v>11</v>
      </c>
      <c r="F20" s="5">
        <v>5</v>
      </c>
      <c r="G20" s="5">
        <v>250000</v>
      </c>
      <c r="H20" s="5">
        <v>50000</v>
      </c>
      <c r="I20" s="5" t="str">
        <f>TEXT(Table2[[#This Row],[Date]],"mmm")</f>
        <v>Mar</v>
      </c>
      <c r="J20" s="5"/>
    </row>
    <row r="21" spans="1:10" x14ac:dyDescent="0.3">
      <c r="A21" s="2">
        <v>45741</v>
      </c>
      <c r="B21" s="3" t="s">
        <v>22</v>
      </c>
      <c r="C21" s="3" t="s">
        <v>13</v>
      </c>
      <c r="D21" s="3" t="s">
        <v>10</v>
      </c>
      <c r="E21" s="3" t="s">
        <v>14</v>
      </c>
      <c r="F21" s="5">
        <v>9</v>
      </c>
      <c r="G21" s="5">
        <v>135000</v>
      </c>
      <c r="H21" s="5">
        <v>27000</v>
      </c>
      <c r="I21" s="5" t="str">
        <f>TEXT(Table2[[#This Row],[Date]],"mmm")</f>
        <v>Mar</v>
      </c>
      <c r="J21" s="5"/>
    </row>
    <row r="23" spans="1:10" x14ac:dyDescent="0.3">
      <c r="A23" s="4"/>
    </row>
    <row r="24" spans="1:10" x14ac:dyDescent="0.3">
      <c r="A24" s="7"/>
    </row>
    <row r="25" spans="1:10" x14ac:dyDescent="0.3">
      <c r="A25" s="7"/>
    </row>
    <row r="26" spans="1:10" x14ac:dyDescent="0.3">
      <c r="A26" s="7"/>
    </row>
    <row r="27" spans="1:10" x14ac:dyDescent="0.3">
      <c r="A27" s="7"/>
    </row>
    <row r="29" spans="1:10" x14ac:dyDescent="0.3">
      <c r="J29" s="21"/>
    </row>
    <row r="30" spans="1:10" x14ac:dyDescent="0.3">
      <c r="J30" s="21"/>
    </row>
    <row r="31" spans="1:10" x14ac:dyDescent="0.3">
      <c r="H31" s="8"/>
      <c r="I31" s="9"/>
      <c r="J31" s="10"/>
    </row>
    <row r="32" spans="1:10" x14ac:dyDescent="0.3">
      <c r="H32" s="11"/>
      <c r="I32" s="12"/>
      <c r="J32" s="13"/>
    </row>
    <row r="33" spans="8:10" x14ac:dyDescent="0.3">
      <c r="H33" s="11"/>
      <c r="I33" s="12"/>
      <c r="J33" s="13"/>
    </row>
    <row r="34" spans="8:10" x14ac:dyDescent="0.3">
      <c r="H34" s="11"/>
      <c r="I34" s="12"/>
      <c r="J34" s="13"/>
    </row>
    <row r="35" spans="8:10" x14ac:dyDescent="0.3">
      <c r="H35" s="11"/>
      <c r="I35" s="12"/>
      <c r="J35" s="13"/>
    </row>
    <row r="36" spans="8:10" x14ac:dyDescent="0.3">
      <c r="H36" s="11"/>
      <c r="I36" s="12"/>
      <c r="J36" s="13"/>
    </row>
    <row r="37" spans="8:10" x14ac:dyDescent="0.3">
      <c r="H37" s="11"/>
      <c r="I37" s="12"/>
      <c r="J37" s="13"/>
    </row>
    <row r="38" spans="8:10" x14ac:dyDescent="0.3">
      <c r="H38" s="11"/>
      <c r="I38" s="12"/>
      <c r="J38" s="13"/>
    </row>
    <row r="39" spans="8:10" x14ac:dyDescent="0.3">
      <c r="H39" s="11"/>
      <c r="I39" s="12"/>
      <c r="J39" s="13"/>
    </row>
    <row r="40" spans="8:10" x14ac:dyDescent="0.3">
      <c r="H40" s="11"/>
      <c r="I40" s="12"/>
      <c r="J40" s="13"/>
    </row>
    <row r="41" spans="8:10" x14ac:dyDescent="0.3">
      <c r="H41" s="11"/>
      <c r="I41" s="12"/>
      <c r="J41" s="13"/>
    </row>
    <row r="42" spans="8:10" x14ac:dyDescent="0.3">
      <c r="H42" s="11"/>
      <c r="I42" s="12"/>
      <c r="J42" s="13"/>
    </row>
    <row r="43" spans="8:10" x14ac:dyDescent="0.3">
      <c r="H43" s="11"/>
      <c r="I43" s="12"/>
      <c r="J43" s="13"/>
    </row>
    <row r="44" spans="8:10" x14ac:dyDescent="0.3">
      <c r="H44" s="11"/>
      <c r="I44" s="12"/>
      <c r="J44" s="13"/>
    </row>
    <row r="45" spans="8:10" x14ac:dyDescent="0.3">
      <c r="H45" s="11"/>
      <c r="I45" s="12"/>
      <c r="J45" s="13"/>
    </row>
    <row r="46" spans="8:10" x14ac:dyDescent="0.3">
      <c r="H46" s="11"/>
      <c r="I46" s="12"/>
      <c r="J46" s="13"/>
    </row>
    <row r="47" spans="8:10" x14ac:dyDescent="0.3">
      <c r="H47" s="11"/>
      <c r="I47" s="12"/>
      <c r="J47" s="13"/>
    </row>
    <row r="48" spans="8:10" x14ac:dyDescent="0.3">
      <c r="H48" s="14"/>
      <c r="I48" s="15"/>
      <c r="J48" s="16"/>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4291-940C-4A70-9B21-5FFD2ABD3801}">
  <dimension ref="A6:H21"/>
  <sheetViews>
    <sheetView zoomScale="70" workbookViewId="0">
      <selection activeCell="E18" sqref="E18"/>
    </sheetView>
  </sheetViews>
  <sheetFormatPr defaultRowHeight="14.4" x14ac:dyDescent="0.3"/>
  <cols>
    <col min="1" max="1" width="12.5546875" bestFit="1" customWidth="1"/>
    <col min="2" max="2" width="13.88671875" bestFit="1" customWidth="1"/>
    <col min="3" max="3" width="11.88671875" bestFit="1" customWidth="1"/>
    <col min="4" max="4" width="13.88671875" bestFit="1" customWidth="1"/>
    <col min="5" max="5" width="11.88671875" bestFit="1" customWidth="1"/>
    <col min="7" max="7" width="13.88671875" bestFit="1" customWidth="1"/>
    <col min="8" max="8" width="12.44140625" bestFit="1" customWidth="1"/>
  </cols>
  <sheetData>
    <row r="6" spans="1:8" x14ac:dyDescent="0.3">
      <c r="A6" s="17" t="s">
        <v>24</v>
      </c>
      <c r="B6" t="s">
        <v>26</v>
      </c>
      <c r="D6" s="17" t="s">
        <v>24</v>
      </c>
      <c r="E6" t="s">
        <v>27</v>
      </c>
      <c r="G6" s="17" t="s">
        <v>24</v>
      </c>
      <c r="H6" t="s">
        <v>28</v>
      </c>
    </row>
    <row r="7" spans="1:8" x14ac:dyDescent="0.3">
      <c r="A7" s="18" t="s">
        <v>20</v>
      </c>
      <c r="B7" s="19">
        <v>32300</v>
      </c>
      <c r="D7" s="18" t="s">
        <v>21</v>
      </c>
      <c r="E7" s="20">
        <v>705000</v>
      </c>
      <c r="G7" s="18" t="s">
        <v>9</v>
      </c>
      <c r="H7" s="20">
        <v>320000</v>
      </c>
    </row>
    <row r="8" spans="1:8" x14ac:dyDescent="0.3">
      <c r="A8" s="18" t="s">
        <v>19</v>
      </c>
      <c r="B8" s="19">
        <v>20</v>
      </c>
      <c r="D8" s="18" t="s">
        <v>12</v>
      </c>
      <c r="E8" s="20">
        <v>730000</v>
      </c>
      <c r="G8" s="18" t="s">
        <v>34</v>
      </c>
      <c r="H8" s="20">
        <v>235000</v>
      </c>
    </row>
    <row r="9" spans="1:8" x14ac:dyDescent="0.3">
      <c r="A9" s="18" t="s">
        <v>23</v>
      </c>
      <c r="B9" s="19">
        <v>646000</v>
      </c>
      <c r="D9" s="18" t="s">
        <v>22</v>
      </c>
      <c r="E9" s="20">
        <v>405000</v>
      </c>
      <c r="G9" s="18" t="s">
        <v>16</v>
      </c>
      <c r="H9" s="20">
        <v>91000</v>
      </c>
    </row>
    <row r="10" spans="1:8" x14ac:dyDescent="0.3">
      <c r="A10" s="18" t="s">
        <v>18</v>
      </c>
      <c r="B10" s="19">
        <v>3220000</v>
      </c>
      <c r="D10" s="18" t="s">
        <v>8</v>
      </c>
      <c r="E10" s="20">
        <v>885000</v>
      </c>
      <c r="G10" s="18" t="s">
        <v>25</v>
      </c>
      <c r="H10" s="20">
        <v>646000</v>
      </c>
    </row>
    <row r="11" spans="1:8" x14ac:dyDescent="0.3">
      <c r="A11" s="18" t="s">
        <v>25</v>
      </c>
      <c r="B11" s="19">
        <v>3898320</v>
      </c>
      <c r="D11" s="18" t="s">
        <v>15</v>
      </c>
      <c r="E11" s="20">
        <v>495000</v>
      </c>
    </row>
    <row r="12" spans="1:8" x14ac:dyDescent="0.3">
      <c r="D12" s="18" t="s">
        <v>25</v>
      </c>
      <c r="E12" s="20">
        <v>3220000</v>
      </c>
    </row>
    <row r="17" spans="2:3" x14ac:dyDescent="0.3">
      <c r="B17" s="17" t="s">
        <v>24</v>
      </c>
      <c r="C17" t="s">
        <v>27</v>
      </c>
    </row>
    <row r="18" spans="2:3" x14ac:dyDescent="0.3">
      <c r="B18" s="18" t="s">
        <v>29</v>
      </c>
      <c r="C18" s="20">
        <v>1180000</v>
      </c>
    </row>
    <row r="19" spans="2:3" x14ac:dyDescent="0.3">
      <c r="B19" s="18" t="s">
        <v>31</v>
      </c>
      <c r="C19" s="20">
        <v>960000</v>
      </c>
    </row>
    <row r="20" spans="2:3" x14ac:dyDescent="0.3">
      <c r="B20" s="18" t="s">
        <v>30</v>
      </c>
      <c r="C20" s="20">
        <v>1080000</v>
      </c>
    </row>
    <row r="21" spans="2:3" x14ac:dyDescent="0.3">
      <c r="B21" s="18" t="s">
        <v>25</v>
      </c>
      <c r="C21" s="20">
        <v>3220000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0A23-029C-4FEC-BC45-72B7F18B34AD}">
  <dimension ref="A1:M11"/>
  <sheetViews>
    <sheetView showGridLines="0" topLeftCell="A7" zoomScale="59" workbookViewId="0">
      <selection activeCell="P30" sqref="P30"/>
    </sheetView>
  </sheetViews>
  <sheetFormatPr defaultRowHeight="14.4" x14ac:dyDescent="0.3"/>
  <cols>
    <col min="2" max="2" width="13.6640625" customWidth="1"/>
    <col min="3" max="3" width="14.88671875" bestFit="1" customWidth="1"/>
    <col min="5" max="5" width="14.5546875" bestFit="1" customWidth="1"/>
    <col min="6" max="6" width="12.44140625" bestFit="1" customWidth="1"/>
    <col min="8" max="8" width="14.5546875" bestFit="1" customWidth="1"/>
    <col min="9" max="9" width="12.6640625" bestFit="1" customWidth="1"/>
    <col min="12" max="12" width="14.5546875" bestFit="1" customWidth="1"/>
    <col min="13" max="13" width="12.44140625" bestFit="1" customWidth="1"/>
  </cols>
  <sheetData>
    <row r="1" spans="1:13" x14ac:dyDescent="0.3">
      <c r="A1" s="22" t="s">
        <v>33</v>
      </c>
      <c r="B1" s="22"/>
      <c r="C1" s="22"/>
      <c r="D1" s="22"/>
      <c r="E1" s="22"/>
      <c r="F1" s="22"/>
      <c r="G1" s="22"/>
      <c r="H1" s="22"/>
      <c r="I1" s="22"/>
      <c r="J1" s="22"/>
      <c r="K1" s="22"/>
      <c r="L1" s="22"/>
      <c r="M1" s="22"/>
    </row>
    <row r="2" spans="1:13" x14ac:dyDescent="0.3">
      <c r="A2" s="22"/>
      <c r="B2" s="22"/>
      <c r="C2" s="22"/>
      <c r="D2" s="22"/>
      <c r="E2" s="22"/>
      <c r="F2" s="22"/>
      <c r="G2" s="22"/>
      <c r="H2" s="22"/>
      <c r="I2" s="22"/>
      <c r="J2" s="22"/>
      <c r="K2" s="22"/>
      <c r="L2" s="22"/>
      <c r="M2" s="22"/>
    </row>
    <row r="3" spans="1:13" x14ac:dyDescent="0.3">
      <c r="A3" s="22"/>
      <c r="B3" s="22"/>
      <c r="C3" s="22"/>
      <c r="D3" s="22"/>
      <c r="E3" s="22"/>
      <c r="F3" s="22"/>
      <c r="G3" s="22"/>
      <c r="H3" s="22"/>
      <c r="I3" s="22"/>
      <c r="J3" s="22"/>
      <c r="K3" s="22"/>
      <c r="L3" s="22"/>
      <c r="M3" s="22"/>
    </row>
    <row r="4" spans="1:13" s="24" customFormat="1" ht="15" customHeight="1" x14ac:dyDescent="0.3">
      <c r="A4" s="23"/>
      <c r="B4" s="23"/>
      <c r="C4" s="23"/>
      <c r="D4" s="23"/>
      <c r="E4" s="23"/>
      <c r="F4" s="23"/>
      <c r="G4" s="23"/>
      <c r="H4" s="23"/>
      <c r="I4" s="23"/>
      <c r="J4" s="23"/>
      <c r="K4" s="23"/>
      <c r="L4" s="23"/>
      <c r="M4" s="23"/>
    </row>
    <row r="5" spans="1:13" s="24" customFormat="1" ht="16.2" customHeight="1" x14ac:dyDescent="0.3">
      <c r="A5" s="23"/>
      <c r="B5" s="23"/>
      <c r="C5" s="23"/>
      <c r="D5" s="23"/>
      <c r="E5" s="23"/>
      <c r="F5" s="23"/>
      <c r="G5" s="23"/>
      <c r="H5" s="23"/>
      <c r="I5" s="23"/>
      <c r="J5" s="23"/>
      <c r="K5" s="23"/>
      <c r="L5" s="23"/>
      <c r="M5" s="23"/>
    </row>
    <row r="11" spans="1:13" x14ac:dyDescent="0.3">
      <c r="I11" s="21"/>
    </row>
  </sheetData>
  <mergeCells count="1">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Dashboaed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Burrewar Neha</dc:creator>
  <cp:lastModifiedBy>Burrewar Neha</cp:lastModifiedBy>
  <dcterms:created xsi:type="dcterms:W3CDTF">2026-06-09T10:51:42Z</dcterms:created>
  <dcterms:modified xsi:type="dcterms:W3CDTF">2026-06-09T13:25:44Z</dcterms:modified>
</cp:coreProperties>
</file>