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ehaburrewar\Desktop\excel-2026\"/>
    </mc:Choice>
  </mc:AlternateContent>
  <xr:revisionPtr revIDLastSave="0" documentId="13_ncr:1_{B55C9A63-DD9F-4C44-939C-51D217D42DF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ivot table" sheetId="3" r:id="rId1"/>
    <sheet name="dashboard" sheetId="4" r:id="rId2"/>
    <sheet name="data" sheetId="1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3" l="1"/>
  <c r="C44" i="3"/>
  <c r="C43" i="3"/>
  <c r="C42" i="3"/>
  <c r="D40" i="3"/>
  <c r="D29" i="3"/>
  <c r="G23" i="3"/>
  <c r="G20" i="3"/>
  <c r="C16" i="3"/>
  <c r="C15" i="3"/>
  <c r="F57" i="1"/>
  <c r="B58" i="1"/>
  <c r="B57" i="1"/>
  <c r="B56" i="1"/>
  <c r="B55" i="1"/>
  <c r="B54" i="1"/>
</calcChain>
</file>

<file path=xl/sharedStrings.xml><?xml version="1.0" encoding="utf-8"?>
<sst xmlns="http://schemas.openxmlformats.org/spreadsheetml/2006/main" count="287" uniqueCount="56">
  <si>
    <t>Order_ID</t>
  </si>
  <si>
    <t>Date</t>
  </si>
  <si>
    <t>Region</t>
  </si>
  <si>
    <t>Sales_Person</t>
  </si>
  <si>
    <t>Product</t>
  </si>
  <si>
    <t>Category</t>
  </si>
  <si>
    <t>Quantity</t>
  </si>
  <si>
    <t>Unit_Price</t>
  </si>
  <si>
    <t>Revenue</t>
  </si>
  <si>
    <t>North</t>
  </si>
  <si>
    <t>Rahul</t>
  </si>
  <si>
    <t>Laptop</t>
  </si>
  <si>
    <t>Electronics</t>
  </si>
  <si>
    <t>South</t>
  </si>
  <si>
    <t>Priya</t>
  </si>
  <si>
    <t>Mobile</t>
  </si>
  <si>
    <t>East</t>
  </si>
  <si>
    <t>Amit</t>
  </si>
  <si>
    <t>Tablet</t>
  </si>
  <si>
    <t>West</t>
  </si>
  <si>
    <t>Sneha</t>
  </si>
  <si>
    <t>Headphones</t>
  </si>
  <si>
    <t>Accessories</t>
  </si>
  <si>
    <t>Monitor</t>
  </si>
  <si>
    <t>Keyboard</t>
  </si>
  <si>
    <t>Mouse</t>
  </si>
  <si>
    <t>total revenue</t>
  </si>
  <si>
    <t>avg revenue per order</t>
  </si>
  <si>
    <t>max revenue order</t>
  </si>
  <si>
    <t>min revenue order</t>
  </si>
  <si>
    <t>count total orders</t>
  </si>
  <si>
    <t>Row Labels</t>
  </si>
  <si>
    <t>Grand Total</t>
  </si>
  <si>
    <t>Sum of Revenue</t>
  </si>
  <si>
    <t>Sum of Quantity</t>
  </si>
  <si>
    <t>12. Total Orders by Region</t>
  </si>
  <si>
    <t>13. Top-Performing Region</t>
  </si>
  <si>
    <t>14. Lowest-Performing Region</t>
  </si>
  <si>
    <t>11. Total Revenue by Region</t>
  </si>
  <si>
    <t>Count of Category</t>
  </si>
  <si>
    <t>6.Total revenue by product.</t>
  </si>
  <si>
    <t>7. Total quantity sold by product.</t>
  </si>
  <si>
    <t>8. Best-selling product.</t>
  </si>
  <si>
    <t>9. Lowest-selling product.</t>
  </si>
  <si>
    <t>10. Revenue by category.</t>
  </si>
  <si>
    <t>15. Total Revenue by Sales Person</t>
  </si>
  <si>
    <t>16. Find top sales performer.</t>
  </si>
  <si>
    <t>17. Find sales person with maximum orders.</t>
  </si>
  <si>
    <t>18. Total Revenue KPI Card.</t>
  </si>
  <si>
    <t>19. Total Orders KPI Card.</t>
  </si>
  <si>
    <t>20. Top Product KPI Card.</t>
  </si>
  <si>
    <t xml:space="preserve">SALES PERFORMANCE DASHBOARD                       </t>
  </si>
  <si>
    <t>Total Orders                                     50</t>
  </si>
  <si>
    <t>Sales Performance Dashboard | Excel Project</t>
  </si>
  <si>
    <t>Total Revenu                         1,572,300</t>
  </si>
  <si>
    <t>Top Product                                       Laptop                                         Revenue : 600,000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</si>
</sst>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0_ ;_ [$₹-4009]\ * \-#,##0.00_ ;_ [$₹-4009]\ * &quot;-&quot;??_ ;_ @_ 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table'!$A$5:$A$12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Tablet</c:v>
                </c:pt>
              </c:strCache>
            </c:strRef>
          </c:cat>
          <c:val>
            <c:numRef>
              <c:f>'pivot table'!$B$5:$B$12</c:f>
              <c:numCache>
                <c:formatCode>General</c:formatCode>
                <c:ptCount val="7"/>
                <c:pt idx="0">
                  <c:v>78000</c:v>
                </c:pt>
                <c:pt idx="1">
                  <c:v>55500</c:v>
                </c:pt>
                <c:pt idx="2">
                  <c:v>600000</c:v>
                </c:pt>
                <c:pt idx="3">
                  <c:v>380000</c:v>
                </c:pt>
                <c:pt idx="4">
                  <c:v>204000</c:v>
                </c:pt>
                <c:pt idx="5">
                  <c:v>44800</c:v>
                </c:pt>
                <c:pt idx="6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F-4453-AED9-BBD2D5344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124703"/>
        <c:axId val="1780118463"/>
      </c:barChart>
      <c:catAx>
        <c:axId val="178012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118463"/>
        <c:crosses val="autoZero"/>
        <c:auto val="1"/>
        <c:lblAlgn val="ctr"/>
        <c:lblOffset val="100"/>
        <c:noMultiLvlLbl val="0"/>
      </c:catAx>
      <c:valAx>
        <c:axId val="17801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12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table'!$A$22:$A$26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table'!$B$22:$B$26</c:f>
              <c:numCache>
                <c:formatCode>General</c:formatCode>
                <c:ptCount val="4"/>
                <c:pt idx="0">
                  <c:v>381900</c:v>
                </c:pt>
                <c:pt idx="1">
                  <c:v>427400</c:v>
                </c:pt>
                <c:pt idx="2">
                  <c:v>390700</c:v>
                </c:pt>
                <c:pt idx="3">
                  <c:v>372300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0-4F7C-B8F9-A42E3BB30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851343"/>
        <c:axId val="1674851823"/>
      </c:barChart>
      <c:catAx>
        <c:axId val="16748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51823"/>
        <c:crosses val="autoZero"/>
        <c:auto val="1"/>
        <c:lblAlgn val="ctr"/>
        <c:lblOffset val="100"/>
        <c:noMultiLvlLbl val="0"/>
      </c:catAx>
      <c:valAx>
        <c:axId val="167485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5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Person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table'!$A$31:$A$35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'pivot table'!$B$31:$B$35</c:f>
              <c:numCache>
                <c:formatCode>General</c:formatCode>
                <c:ptCount val="4"/>
                <c:pt idx="0">
                  <c:v>381900</c:v>
                </c:pt>
                <c:pt idx="1">
                  <c:v>390700</c:v>
                </c:pt>
                <c:pt idx="2">
                  <c:v>427400</c:v>
                </c:pt>
                <c:pt idx="3">
                  <c:v>372300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3-42FD-AB84-ABA2E9966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4846543"/>
        <c:axId val="1780127583"/>
      </c:barChart>
      <c:catAx>
        <c:axId val="167484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127583"/>
        <c:crosses val="autoZero"/>
        <c:auto val="1"/>
        <c:lblAlgn val="ctr"/>
        <c:lblOffset val="100"/>
        <c:noMultiLvlLbl val="0"/>
      </c:catAx>
      <c:valAx>
        <c:axId val="178012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4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chart" Target="../charts/chart2.xml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289560</xdr:colOff>
      <xdr:row>0</xdr:row>
      <xdr:rowOff>53340</xdr:rowOff>
    </xdr:from>
    <xdr:to>
      <xdr:col>11</xdr:col>
      <xdr:colOff>525780</xdr:colOff>
      <xdr:row>0</xdr:row>
      <xdr:rowOff>289560</xdr:rowOff>
    </xdr:to>
    <xdr:pic>
      <xdr:nvPicPr>
        <xdr:cNvPr id="3" name="Graphic 2" descr="Shopping cart with solid fill">
          <a:extLst>
            <a:ext uri="{FF2B5EF4-FFF2-40B4-BE49-F238E27FC236}">
              <a16:creationId xmlns:a16="http://schemas.microsoft.com/office/drawing/2014/main" id="{4B189842-9FF4-553C-591C-2694E5C22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6760" y="53340"/>
          <a:ext cx="236220" cy="2362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161637</xdr:rowOff>
    </xdr:from>
    <xdr:to>
      <xdr:col>5</xdr:col>
      <xdr:colOff>11546</xdr:colOff>
      <xdr:row>16</xdr:row>
      <xdr:rowOff>161637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B21AC-2286-4A13-9296-D99F3E320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</xdr:row>
      <xdr:rowOff>127001</xdr:rowOff>
    </xdr:from>
    <xdr:to>
      <xdr:col>10</xdr:col>
      <xdr:colOff>69273</xdr:colOff>
      <xdr:row>17</xdr:row>
      <xdr:rowOff>92364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9FC24A-3307-4A4E-9FB3-3F35A3129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54191</xdr:colOff>
      <xdr:row>7</xdr:row>
      <xdr:rowOff>155039</xdr:rowOff>
    </xdr:from>
    <xdr:to>
      <xdr:col>16</xdr:col>
      <xdr:colOff>69273</xdr:colOff>
      <xdr:row>17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DB4648-41D3-4391-A09A-257425613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397860</xdr:colOff>
      <xdr:row>3</xdr:row>
      <xdr:rowOff>40461</xdr:rowOff>
    </xdr:from>
    <xdr:to>
      <xdr:col>4</xdr:col>
      <xdr:colOff>67435</xdr:colOff>
      <xdr:row>4</xdr:row>
      <xdr:rowOff>134868</xdr:rowOff>
    </xdr:to>
    <xdr:pic>
      <xdr:nvPicPr>
        <xdr:cNvPr id="10" name="Graphic 9" descr="Bank with solid fill">
          <a:extLst>
            <a:ext uri="{FF2B5EF4-FFF2-40B4-BE49-F238E27FC236}">
              <a16:creationId xmlns:a16="http://schemas.microsoft.com/office/drawing/2014/main" id="{B8FE0294-0D46-A8B4-94F4-A15DB3393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218568" y="896868"/>
          <a:ext cx="276478" cy="276478"/>
        </a:xfrm>
        <a:prstGeom prst="rect">
          <a:avLst/>
        </a:prstGeom>
      </xdr:spPr>
    </xdr:pic>
    <xdr:clientData/>
  </xdr:twoCellAnchor>
  <xdr:twoCellAnchor editAs="oneCell">
    <xdr:from>
      <xdr:col>8</xdr:col>
      <xdr:colOff>552957</xdr:colOff>
      <xdr:row>2</xdr:row>
      <xdr:rowOff>236019</xdr:rowOff>
    </xdr:from>
    <xdr:to>
      <xdr:col>9</xdr:col>
      <xdr:colOff>256248</xdr:colOff>
      <xdr:row>4</xdr:row>
      <xdr:rowOff>0</xdr:rowOff>
    </xdr:to>
    <xdr:pic>
      <xdr:nvPicPr>
        <xdr:cNvPr id="12" name="Graphic 11" descr="Shopping cart with solid fill">
          <a:extLst>
            <a:ext uri="{FF2B5EF4-FFF2-40B4-BE49-F238E27FC236}">
              <a16:creationId xmlns:a16="http://schemas.microsoft.com/office/drawing/2014/main" id="{549344BF-DDAD-DD14-ED22-2713E2D8F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882196" y="728284"/>
          <a:ext cx="310194" cy="310194"/>
        </a:xfrm>
        <a:prstGeom prst="rect">
          <a:avLst/>
        </a:prstGeom>
      </xdr:spPr>
    </xdr:pic>
    <xdr:clientData/>
  </xdr:twoCellAnchor>
  <xdr:twoCellAnchor editAs="oneCell">
    <xdr:from>
      <xdr:col>13</xdr:col>
      <xdr:colOff>418088</xdr:colOff>
      <xdr:row>2</xdr:row>
      <xdr:rowOff>121382</xdr:rowOff>
    </xdr:from>
    <xdr:to>
      <xdr:col>14</xdr:col>
      <xdr:colOff>107894</xdr:colOff>
      <xdr:row>3</xdr:row>
      <xdr:rowOff>53948</xdr:rowOff>
    </xdr:to>
    <xdr:pic>
      <xdr:nvPicPr>
        <xdr:cNvPr id="14" name="Graphic 13" descr="Apple with solid fill">
          <a:extLst>
            <a:ext uri="{FF2B5EF4-FFF2-40B4-BE49-F238E27FC236}">
              <a16:creationId xmlns:a16="http://schemas.microsoft.com/office/drawing/2014/main" id="{5A64F064-A7CC-B9C2-81D6-A7D24C5E2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289575" y="613647"/>
          <a:ext cx="296708" cy="29670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burrewar" refreshedDate="46191.380549768517" createdVersion="8" refreshedVersion="8" minRefreshableVersion="3" recordCount="50" xr:uid="{304F7BF4-17DF-4470-A340-5E8AB7B2CF85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5-01-01T00:00:00" maxDate="2025-02-21T00:00:00"/>
    </cacheField>
    <cacheField name="Region" numFmtId="0">
      <sharedItems count="4">
        <s v="North"/>
        <s v="South"/>
        <s v="East"/>
        <s v="West"/>
      </sharedItems>
    </cacheField>
    <cacheField name="Sales_Person" numFmtId="0">
      <sharedItems count="4">
        <s v="Rahul"/>
        <s v="Priya"/>
        <s v="Amit"/>
        <s v="Sneha"/>
      </sharedItems>
    </cacheField>
    <cacheField name="Product" numFmtId="0">
      <sharedItems count="7">
        <s v="Laptop"/>
        <s v="Mobile"/>
        <s v="Tablet"/>
        <s v="Headphones"/>
        <s v="Monitor"/>
        <s v="Keyboard"/>
        <s v="Mouse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800" maxValue="50000"/>
    </cacheField>
    <cacheField name="Revenue" numFmtId="0">
      <sharedItems containsSemiMixedTypes="0" containsString="0" containsNumber="1" containsInteger="1" minValue="48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5-01-01T00:00:00"/>
    <x v="0"/>
    <x v="0"/>
    <x v="0"/>
    <x v="0"/>
    <n v="2"/>
    <n v="50000"/>
    <n v="100000"/>
  </r>
  <r>
    <n v="1002"/>
    <d v="2025-01-02T00:00:00"/>
    <x v="1"/>
    <x v="1"/>
    <x v="1"/>
    <x v="0"/>
    <n v="3"/>
    <n v="20000"/>
    <n v="60000"/>
  </r>
  <r>
    <n v="1003"/>
    <d v="2025-01-03T00:00:00"/>
    <x v="2"/>
    <x v="2"/>
    <x v="2"/>
    <x v="0"/>
    <n v="2"/>
    <n v="15000"/>
    <n v="30000"/>
  </r>
  <r>
    <n v="1004"/>
    <d v="2025-01-04T00:00:00"/>
    <x v="3"/>
    <x v="3"/>
    <x v="3"/>
    <x v="1"/>
    <n v="5"/>
    <n v="2000"/>
    <n v="10000"/>
  </r>
  <r>
    <n v="1005"/>
    <d v="2025-01-05T00:00:00"/>
    <x v="0"/>
    <x v="0"/>
    <x v="4"/>
    <x v="0"/>
    <n v="3"/>
    <n v="12000"/>
    <n v="36000"/>
  </r>
  <r>
    <n v="1006"/>
    <d v="2025-01-06T00:00:00"/>
    <x v="1"/>
    <x v="1"/>
    <x v="5"/>
    <x v="1"/>
    <n v="4"/>
    <n v="1500"/>
    <n v="6000"/>
  </r>
  <r>
    <n v="1007"/>
    <d v="2025-01-07T00:00:00"/>
    <x v="2"/>
    <x v="2"/>
    <x v="6"/>
    <x v="1"/>
    <n v="6"/>
    <n v="800"/>
    <n v="4800"/>
  </r>
  <r>
    <n v="1008"/>
    <d v="2025-01-08T00:00:00"/>
    <x v="3"/>
    <x v="3"/>
    <x v="0"/>
    <x v="0"/>
    <n v="1"/>
    <n v="50000"/>
    <n v="50000"/>
  </r>
  <r>
    <n v="1009"/>
    <d v="2025-01-09T00:00:00"/>
    <x v="0"/>
    <x v="0"/>
    <x v="1"/>
    <x v="0"/>
    <n v="2"/>
    <n v="20000"/>
    <n v="40000"/>
  </r>
  <r>
    <n v="1010"/>
    <d v="2025-01-10T00:00:00"/>
    <x v="1"/>
    <x v="1"/>
    <x v="2"/>
    <x v="0"/>
    <n v="3"/>
    <n v="15000"/>
    <n v="45000"/>
  </r>
  <r>
    <n v="1011"/>
    <d v="2025-01-11T00:00:00"/>
    <x v="2"/>
    <x v="2"/>
    <x v="4"/>
    <x v="0"/>
    <n v="2"/>
    <n v="12000"/>
    <n v="24000"/>
  </r>
  <r>
    <n v="1012"/>
    <d v="2025-01-12T00:00:00"/>
    <x v="3"/>
    <x v="3"/>
    <x v="5"/>
    <x v="1"/>
    <n v="5"/>
    <n v="1500"/>
    <n v="7500"/>
  </r>
  <r>
    <n v="1013"/>
    <d v="2025-01-13T00:00:00"/>
    <x v="0"/>
    <x v="0"/>
    <x v="6"/>
    <x v="1"/>
    <n v="8"/>
    <n v="800"/>
    <n v="6400"/>
  </r>
  <r>
    <n v="1014"/>
    <d v="2025-01-14T00:00:00"/>
    <x v="1"/>
    <x v="1"/>
    <x v="3"/>
    <x v="1"/>
    <n v="4"/>
    <n v="2000"/>
    <n v="8000"/>
  </r>
  <r>
    <n v="1015"/>
    <d v="2025-01-15T00:00:00"/>
    <x v="2"/>
    <x v="2"/>
    <x v="0"/>
    <x v="0"/>
    <n v="2"/>
    <n v="50000"/>
    <n v="100000"/>
  </r>
  <r>
    <n v="1016"/>
    <d v="2025-01-16T00:00:00"/>
    <x v="3"/>
    <x v="3"/>
    <x v="1"/>
    <x v="0"/>
    <n v="4"/>
    <n v="20000"/>
    <n v="80000"/>
  </r>
  <r>
    <n v="1017"/>
    <d v="2025-01-17T00:00:00"/>
    <x v="0"/>
    <x v="0"/>
    <x v="2"/>
    <x v="0"/>
    <n v="1"/>
    <n v="15000"/>
    <n v="15000"/>
  </r>
  <r>
    <n v="1018"/>
    <d v="2025-01-18T00:00:00"/>
    <x v="1"/>
    <x v="1"/>
    <x v="4"/>
    <x v="0"/>
    <n v="2"/>
    <n v="12000"/>
    <n v="24000"/>
  </r>
  <r>
    <n v="1019"/>
    <d v="2025-01-19T00:00:00"/>
    <x v="2"/>
    <x v="2"/>
    <x v="5"/>
    <x v="1"/>
    <n v="6"/>
    <n v="1500"/>
    <n v="9000"/>
  </r>
  <r>
    <n v="1020"/>
    <d v="2025-01-20T00:00:00"/>
    <x v="3"/>
    <x v="3"/>
    <x v="6"/>
    <x v="1"/>
    <n v="10"/>
    <n v="800"/>
    <n v="8000"/>
  </r>
  <r>
    <n v="1021"/>
    <d v="2025-01-21T00:00:00"/>
    <x v="0"/>
    <x v="0"/>
    <x v="3"/>
    <x v="1"/>
    <n v="7"/>
    <n v="2000"/>
    <n v="14000"/>
  </r>
  <r>
    <n v="1022"/>
    <d v="2025-01-22T00:00:00"/>
    <x v="1"/>
    <x v="1"/>
    <x v="0"/>
    <x v="0"/>
    <n v="1"/>
    <n v="50000"/>
    <n v="50000"/>
  </r>
  <r>
    <n v="1023"/>
    <d v="2025-01-23T00:00:00"/>
    <x v="2"/>
    <x v="2"/>
    <x v="1"/>
    <x v="0"/>
    <n v="3"/>
    <n v="20000"/>
    <n v="60000"/>
  </r>
  <r>
    <n v="1024"/>
    <d v="2025-01-24T00:00:00"/>
    <x v="3"/>
    <x v="3"/>
    <x v="2"/>
    <x v="0"/>
    <n v="2"/>
    <n v="15000"/>
    <n v="30000"/>
  </r>
  <r>
    <n v="1025"/>
    <d v="2025-01-25T00:00:00"/>
    <x v="0"/>
    <x v="0"/>
    <x v="4"/>
    <x v="0"/>
    <n v="4"/>
    <n v="12000"/>
    <n v="48000"/>
  </r>
  <r>
    <n v="1026"/>
    <d v="2025-01-26T00:00:00"/>
    <x v="1"/>
    <x v="1"/>
    <x v="5"/>
    <x v="1"/>
    <n v="5"/>
    <n v="1500"/>
    <n v="7500"/>
  </r>
  <r>
    <n v="1027"/>
    <d v="2025-01-27T00:00:00"/>
    <x v="2"/>
    <x v="2"/>
    <x v="6"/>
    <x v="1"/>
    <n v="7"/>
    <n v="800"/>
    <n v="5600"/>
  </r>
  <r>
    <n v="1028"/>
    <d v="2025-01-28T00:00:00"/>
    <x v="3"/>
    <x v="3"/>
    <x v="3"/>
    <x v="1"/>
    <n v="6"/>
    <n v="2000"/>
    <n v="12000"/>
  </r>
  <r>
    <n v="1029"/>
    <d v="2025-01-29T00:00:00"/>
    <x v="0"/>
    <x v="0"/>
    <x v="0"/>
    <x v="0"/>
    <n v="1"/>
    <n v="50000"/>
    <n v="50000"/>
  </r>
  <r>
    <n v="1030"/>
    <d v="2025-01-30T00:00:00"/>
    <x v="1"/>
    <x v="1"/>
    <x v="1"/>
    <x v="0"/>
    <n v="2"/>
    <n v="20000"/>
    <n v="40000"/>
  </r>
  <r>
    <n v="1031"/>
    <d v="2025-02-01T00:00:00"/>
    <x v="2"/>
    <x v="2"/>
    <x v="2"/>
    <x v="0"/>
    <n v="3"/>
    <n v="15000"/>
    <n v="45000"/>
  </r>
  <r>
    <n v="1032"/>
    <d v="2025-02-02T00:00:00"/>
    <x v="3"/>
    <x v="3"/>
    <x v="4"/>
    <x v="0"/>
    <n v="2"/>
    <n v="12000"/>
    <n v="24000"/>
  </r>
  <r>
    <n v="1033"/>
    <d v="2025-02-03T00:00:00"/>
    <x v="0"/>
    <x v="0"/>
    <x v="5"/>
    <x v="1"/>
    <n v="8"/>
    <n v="1500"/>
    <n v="12000"/>
  </r>
  <r>
    <n v="1034"/>
    <d v="2025-02-04T00:00:00"/>
    <x v="1"/>
    <x v="1"/>
    <x v="6"/>
    <x v="1"/>
    <n v="9"/>
    <n v="800"/>
    <n v="7200"/>
  </r>
  <r>
    <n v="1035"/>
    <d v="2025-02-05T00:00:00"/>
    <x v="2"/>
    <x v="2"/>
    <x v="3"/>
    <x v="1"/>
    <n v="5"/>
    <n v="2000"/>
    <n v="10000"/>
  </r>
  <r>
    <n v="1036"/>
    <d v="2025-02-06T00:00:00"/>
    <x v="3"/>
    <x v="3"/>
    <x v="0"/>
    <x v="0"/>
    <n v="2"/>
    <n v="50000"/>
    <n v="100000"/>
  </r>
  <r>
    <n v="1037"/>
    <d v="2025-02-07T00:00:00"/>
    <x v="0"/>
    <x v="0"/>
    <x v="1"/>
    <x v="0"/>
    <n v="3"/>
    <n v="20000"/>
    <n v="60000"/>
  </r>
  <r>
    <n v="1038"/>
    <d v="2025-02-08T00:00:00"/>
    <x v="1"/>
    <x v="1"/>
    <x v="2"/>
    <x v="0"/>
    <n v="1"/>
    <n v="15000"/>
    <n v="15000"/>
  </r>
  <r>
    <n v="1039"/>
    <d v="2025-02-09T00:00:00"/>
    <x v="2"/>
    <x v="2"/>
    <x v="4"/>
    <x v="0"/>
    <n v="3"/>
    <n v="12000"/>
    <n v="36000"/>
  </r>
  <r>
    <n v="1040"/>
    <d v="2025-02-10T00:00:00"/>
    <x v="3"/>
    <x v="3"/>
    <x v="5"/>
    <x v="1"/>
    <n v="4"/>
    <n v="1500"/>
    <n v="6000"/>
  </r>
  <r>
    <n v="1041"/>
    <d v="2025-02-11T00:00:00"/>
    <x v="0"/>
    <x v="0"/>
    <x v="6"/>
    <x v="1"/>
    <n v="10"/>
    <n v="800"/>
    <n v="8000"/>
  </r>
  <r>
    <n v="1042"/>
    <d v="2025-02-12T00:00:00"/>
    <x v="1"/>
    <x v="1"/>
    <x v="3"/>
    <x v="1"/>
    <n v="8"/>
    <n v="2000"/>
    <n v="16000"/>
  </r>
  <r>
    <n v="1043"/>
    <d v="2025-02-13T00:00:00"/>
    <x v="2"/>
    <x v="2"/>
    <x v="0"/>
    <x v="0"/>
    <n v="1"/>
    <n v="50000"/>
    <n v="50000"/>
  </r>
  <r>
    <n v="1044"/>
    <d v="2025-02-14T00:00:00"/>
    <x v="3"/>
    <x v="3"/>
    <x v="1"/>
    <x v="0"/>
    <n v="2"/>
    <n v="20000"/>
    <n v="40000"/>
  </r>
  <r>
    <n v="1045"/>
    <d v="2025-02-15T00:00:00"/>
    <x v="0"/>
    <x v="0"/>
    <x v="2"/>
    <x v="0"/>
    <n v="2"/>
    <n v="15000"/>
    <n v="30000"/>
  </r>
  <r>
    <n v="1046"/>
    <d v="2025-02-16T00:00:00"/>
    <x v="1"/>
    <x v="1"/>
    <x v="4"/>
    <x v="0"/>
    <n v="1"/>
    <n v="12000"/>
    <n v="12000"/>
  </r>
  <r>
    <n v="1047"/>
    <d v="2025-02-17T00:00:00"/>
    <x v="2"/>
    <x v="2"/>
    <x v="5"/>
    <x v="1"/>
    <n v="5"/>
    <n v="1500"/>
    <n v="7500"/>
  </r>
  <r>
    <n v="1048"/>
    <d v="2025-02-18T00:00:00"/>
    <x v="3"/>
    <x v="3"/>
    <x v="6"/>
    <x v="1"/>
    <n v="6"/>
    <n v="800"/>
    <n v="4800"/>
  </r>
  <r>
    <n v="1049"/>
    <d v="2025-02-19T00:00:00"/>
    <x v="0"/>
    <x v="0"/>
    <x v="3"/>
    <x v="1"/>
    <n v="4"/>
    <n v="2000"/>
    <n v="8000"/>
  </r>
  <r>
    <n v="1050"/>
    <d v="2025-02-20T00:00:00"/>
    <x v="1"/>
    <x v="1"/>
    <x v="0"/>
    <x v="0"/>
    <n v="2"/>
    <n v="50000"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5AC94-3FDD-47B2-B24E-333E5AD87DE5}" name="PivotTable7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33:E38" firstHeaderRow="1" firstDataRow="1" firstDataCol="1"/>
  <pivotFields count="9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tego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38B5A-A7FA-4119-AA3F-A9D8185D071B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0:B35" firstHeaderRow="1" firstDataRow="1" firstDataCol="1"/>
  <pivotFields count="9">
    <pivotField showAll="0"/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E33D1-5F7A-4EB7-AE55-A3568AA710F4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E26" firstHeaderRow="1" firstDataRow="1" firstDataCol="1"/>
  <pivotFields count="9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tego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DD589-AD01-4754-94A4-F733A56DD3D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B26" firstHeaderRow="1" firstDataRow="1" firstDataCol="1"/>
  <pivotFields count="9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4BDC6-C95B-4930-9853-D4E504E9A7E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E35A9-3465-43EA-85D7-0855F0EA8F9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2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8">
        <item x="3"/>
        <item x="5"/>
        <item x="0"/>
        <item x="1"/>
        <item x="4"/>
        <item x="6"/>
        <item x="2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A57F9-AC7C-44D0-8B16-8EF682D4C09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B12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8">
        <item x="3"/>
        <item x="5"/>
        <item x="0"/>
        <item x="1"/>
        <item x="4"/>
        <item x="6"/>
        <item x="2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8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1" totalsRowShown="0">
  <autoFilter ref="A1:I51" xr:uid="{00000000-0009-0000-0100-000001000000}"/>
  <tableColumns count="9">
    <tableColumn id="1" xr3:uid="{00000000-0010-0000-0000-000001000000}" name="Order_ID"/>
    <tableColumn id="2" xr3:uid="{00000000-0010-0000-0000-000002000000}" name="Date" dataDxfId="0"/>
    <tableColumn id="3" xr3:uid="{00000000-0010-0000-0000-000003000000}" name="Region"/>
    <tableColumn id="4" xr3:uid="{00000000-0010-0000-0000-000004000000}" name="Sales_Person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2B02-6C9F-4BCC-AF07-6B8D55E2A5B3}">
  <dimension ref="A2:H44"/>
  <sheetViews>
    <sheetView topLeftCell="A12" zoomScale="86" workbookViewId="0">
      <selection activeCell="B33" sqref="B33"/>
    </sheetView>
  </sheetViews>
  <sheetFormatPr defaultRowHeight="14.4"/>
  <cols>
    <col min="1" max="1" width="13.33203125" bestFit="1" customWidth="1"/>
    <col min="2" max="2" width="15.33203125" bestFit="1" customWidth="1"/>
    <col min="4" max="4" width="13.33203125" bestFit="1" customWidth="1"/>
    <col min="5" max="5" width="17" bestFit="1" customWidth="1"/>
    <col min="7" max="7" width="13.33203125" bestFit="1" customWidth="1"/>
    <col min="8" max="8" width="15.33203125" bestFit="1" customWidth="1"/>
    <col min="9" max="9" width="26.5546875" bestFit="1" customWidth="1"/>
  </cols>
  <sheetData>
    <row r="2" spans="1:8">
      <c r="A2" s="5" t="s">
        <v>40</v>
      </c>
      <c r="D2" s="5" t="s">
        <v>41</v>
      </c>
      <c r="G2" s="5" t="s">
        <v>44</v>
      </c>
    </row>
    <row r="4" spans="1:8">
      <c r="A4" s="2" t="s">
        <v>31</v>
      </c>
      <c r="B4" t="s">
        <v>33</v>
      </c>
      <c r="D4" s="2" t="s">
        <v>31</v>
      </c>
      <c r="E4" t="s">
        <v>34</v>
      </c>
      <c r="G4" s="2" t="s">
        <v>31</v>
      </c>
      <c r="H4" t="s">
        <v>33</v>
      </c>
    </row>
    <row r="5" spans="1:8">
      <c r="A5" s="3" t="s">
        <v>21</v>
      </c>
      <c r="B5" s="4">
        <v>78000</v>
      </c>
      <c r="D5" s="3" t="s">
        <v>21</v>
      </c>
      <c r="E5" s="4">
        <v>39</v>
      </c>
      <c r="G5" s="3" t="s">
        <v>22</v>
      </c>
      <c r="H5" s="4">
        <v>178300</v>
      </c>
    </row>
    <row r="6" spans="1:8">
      <c r="A6" s="3" t="s">
        <v>24</v>
      </c>
      <c r="B6" s="4">
        <v>55500</v>
      </c>
      <c r="D6" s="3" t="s">
        <v>24</v>
      </c>
      <c r="E6" s="4">
        <v>37</v>
      </c>
      <c r="G6" s="3" t="s">
        <v>12</v>
      </c>
      <c r="H6" s="4">
        <v>1394000</v>
      </c>
    </row>
    <row r="7" spans="1:8">
      <c r="A7" s="3" t="s">
        <v>11</v>
      </c>
      <c r="B7" s="4">
        <v>600000</v>
      </c>
      <c r="D7" s="3" t="s">
        <v>11</v>
      </c>
      <c r="E7" s="4">
        <v>12</v>
      </c>
      <c r="G7" s="3" t="s">
        <v>32</v>
      </c>
      <c r="H7" s="4">
        <v>1572300</v>
      </c>
    </row>
    <row r="8" spans="1:8">
      <c r="A8" s="3" t="s">
        <v>15</v>
      </c>
      <c r="B8" s="4">
        <v>380000</v>
      </c>
      <c r="D8" s="3" t="s">
        <v>15</v>
      </c>
      <c r="E8" s="4">
        <v>19</v>
      </c>
    </row>
    <row r="9" spans="1:8">
      <c r="A9" s="3" t="s">
        <v>23</v>
      </c>
      <c r="B9" s="4">
        <v>204000</v>
      </c>
      <c r="D9" s="3" t="s">
        <v>23</v>
      </c>
      <c r="E9" s="4">
        <v>17</v>
      </c>
    </row>
    <row r="10" spans="1:8">
      <c r="A10" s="3" t="s">
        <v>25</v>
      </c>
      <c r="B10" s="4">
        <v>44800</v>
      </c>
      <c r="D10" s="3" t="s">
        <v>25</v>
      </c>
      <c r="E10" s="4">
        <v>56</v>
      </c>
    </row>
    <row r="11" spans="1:8">
      <c r="A11" s="3" t="s">
        <v>18</v>
      </c>
      <c r="B11" s="4">
        <v>210000</v>
      </c>
      <c r="D11" s="3" t="s">
        <v>18</v>
      </c>
      <c r="E11" s="4">
        <v>14</v>
      </c>
    </row>
    <row r="12" spans="1:8">
      <c r="A12" s="3" t="s">
        <v>32</v>
      </c>
      <c r="B12" s="4">
        <v>1572300</v>
      </c>
      <c r="D12" s="3" t="s">
        <v>32</v>
      </c>
      <c r="E12" s="4">
        <v>194</v>
      </c>
    </row>
    <row r="14" spans="1:8">
      <c r="B14" s="5"/>
    </row>
    <row r="15" spans="1:8">
      <c r="A15" s="5" t="s">
        <v>42</v>
      </c>
      <c r="B15" s="5"/>
      <c r="C15" t="str">
        <f>_xlfn.XLOOKUP(MIN(B5:B11), B5:B11,A5:A11)</f>
        <v>Mouse</v>
      </c>
    </row>
    <row r="16" spans="1:8">
      <c r="A16" s="5" t="s">
        <v>43</v>
      </c>
      <c r="B16" s="5"/>
      <c r="C16" t="str">
        <f>_xlfn.XLOOKUP(MAX(B5:B11), B5:B11,A5:A11)</f>
        <v>Laptop</v>
      </c>
    </row>
    <row r="17" spans="1:7">
      <c r="B17" s="5"/>
    </row>
    <row r="19" spans="1:7">
      <c r="A19" s="5" t="s">
        <v>38</v>
      </c>
      <c r="B19" s="5"/>
      <c r="D19" s="5" t="s">
        <v>35</v>
      </c>
      <c r="G19" s="5" t="s">
        <v>36</v>
      </c>
    </row>
    <row r="20" spans="1:7">
      <c r="G20" t="str">
        <f>_xlfn.XLOOKUP(MAX(B22:B25),B22:B25,A22:A25)</f>
        <v>North</v>
      </c>
    </row>
    <row r="21" spans="1:7">
      <c r="A21" s="2" t="s">
        <v>31</v>
      </c>
      <c r="B21" t="s">
        <v>33</v>
      </c>
      <c r="D21" s="2" t="s">
        <v>31</v>
      </c>
      <c r="E21" t="s">
        <v>39</v>
      </c>
    </row>
    <row r="22" spans="1:7">
      <c r="A22" s="3" t="s">
        <v>16</v>
      </c>
      <c r="B22" s="4">
        <v>381900</v>
      </c>
      <c r="D22" s="3" t="s">
        <v>16</v>
      </c>
      <c r="E22" s="4">
        <v>12</v>
      </c>
      <c r="G22" s="5" t="s">
        <v>37</v>
      </c>
    </row>
    <row r="23" spans="1:7">
      <c r="A23" s="3" t="s">
        <v>9</v>
      </c>
      <c r="B23" s="4">
        <v>427400</v>
      </c>
      <c r="D23" s="3" t="s">
        <v>9</v>
      </c>
      <c r="E23" s="4">
        <v>13</v>
      </c>
      <c r="G23" t="str">
        <f>_xlfn.XLOOKUP(MIN(B22:B25),B22:B25,A22:A25)</f>
        <v>West</v>
      </c>
    </row>
    <row r="24" spans="1:7">
      <c r="A24" s="3" t="s">
        <v>13</v>
      </c>
      <c r="B24" s="4">
        <v>390700</v>
      </c>
      <c r="D24" s="3" t="s">
        <v>13</v>
      </c>
      <c r="E24" s="4">
        <v>13</v>
      </c>
    </row>
    <row r="25" spans="1:7">
      <c r="A25" s="3" t="s">
        <v>19</v>
      </c>
      <c r="B25" s="4">
        <v>372300</v>
      </c>
      <c r="D25" s="3" t="s">
        <v>19</v>
      </c>
      <c r="E25" s="4">
        <v>12</v>
      </c>
    </row>
    <row r="26" spans="1:7">
      <c r="A26" s="3" t="s">
        <v>32</v>
      </c>
      <c r="B26" s="4">
        <v>1572300</v>
      </c>
      <c r="D26" s="3" t="s">
        <v>32</v>
      </c>
      <c r="E26" s="4">
        <v>50</v>
      </c>
    </row>
    <row r="28" spans="1:7">
      <c r="A28" s="5" t="s">
        <v>45</v>
      </c>
      <c r="D28" s="8" t="s">
        <v>46</v>
      </c>
    </row>
    <row r="29" spans="1:7">
      <c r="D29" t="str">
        <f>_xlfn.XLOOKUP(MAX(B31:B34), B31:B34,A31:A34)</f>
        <v>Rahul</v>
      </c>
    </row>
    <row r="30" spans="1:7">
      <c r="A30" s="2" t="s">
        <v>31</v>
      </c>
      <c r="B30" t="s">
        <v>33</v>
      </c>
    </row>
    <row r="31" spans="1:7">
      <c r="A31" s="3" t="s">
        <v>17</v>
      </c>
      <c r="B31" s="4">
        <v>381900</v>
      </c>
      <c r="D31" s="8" t="s">
        <v>47</v>
      </c>
    </row>
    <row r="32" spans="1:7">
      <c r="A32" s="3" t="s">
        <v>14</v>
      </c>
      <c r="B32" s="4">
        <v>390700</v>
      </c>
    </row>
    <row r="33" spans="1:5">
      <c r="A33" s="3" t="s">
        <v>10</v>
      </c>
      <c r="B33" s="4">
        <v>427400</v>
      </c>
      <c r="D33" s="2" t="s">
        <v>31</v>
      </c>
      <c r="E33" t="s">
        <v>39</v>
      </c>
    </row>
    <row r="34" spans="1:5">
      <c r="A34" s="3" t="s">
        <v>20</v>
      </c>
      <c r="B34" s="4">
        <v>372300</v>
      </c>
      <c r="D34" s="3" t="s">
        <v>17</v>
      </c>
      <c r="E34" s="4">
        <v>12</v>
      </c>
    </row>
    <row r="35" spans="1:5">
      <c r="A35" s="3" t="s">
        <v>32</v>
      </c>
      <c r="B35" s="4">
        <v>1572300</v>
      </c>
      <c r="D35" s="3" t="s">
        <v>14</v>
      </c>
      <c r="E35" s="4">
        <v>13</v>
      </c>
    </row>
    <row r="36" spans="1:5">
      <c r="D36" s="3" t="s">
        <v>10</v>
      </c>
      <c r="E36" s="4">
        <v>13</v>
      </c>
    </row>
    <row r="37" spans="1:5">
      <c r="D37" s="3" t="s">
        <v>20</v>
      </c>
      <c r="E37" s="4">
        <v>12</v>
      </c>
    </row>
    <row r="38" spans="1:5">
      <c r="D38" s="3" t="s">
        <v>32</v>
      </c>
      <c r="E38" s="4">
        <v>50</v>
      </c>
    </row>
    <row r="40" spans="1:5" ht="18">
      <c r="A40" s="7"/>
      <c r="D40" t="str">
        <f>_xlfn.XLOOKUP(MAX(E34:E37),E34:E37,D34:D37)</f>
        <v>Priya</v>
      </c>
    </row>
    <row r="41" spans="1:5">
      <c r="A41" s="6"/>
    </row>
    <row r="42" spans="1:5">
      <c r="A42" s="8" t="s">
        <v>48</v>
      </c>
      <c r="B42" s="5"/>
      <c r="C42">
        <f>SUM(Table1[Revenue])</f>
        <v>1572300</v>
      </c>
    </row>
    <row r="43" spans="1:5">
      <c r="A43" s="8" t="s">
        <v>49</v>
      </c>
      <c r="B43" s="5"/>
      <c r="C43">
        <f>COUNT(Table1[Order_ID])</f>
        <v>50</v>
      </c>
    </row>
    <row r="44" spans="1:5">
      <c r="A44" s="8" t="s">
        <v>50</v>
      </c>
      <c r="B44" s="5"/>
      <c r="C44">
        <f>MAX(B5:B11)</f>
        <v>600000</v>
      </c>
      <c r="D44" t="str">
        <f>_xlfn.XLOOKUP(MAX(B5:B11),B5:B11,A5:A11)</f>
        <v>Laptop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3CA5-D586-48B1-ACEF-C12B3ED42A21}">
  <dimension ref="A1:Q20"/>
  <sheetViews>
    <sheetView showGridLines="0" tabSelected="1" zoomScale="113" zoomScaleNormal="113" workbookViewId="0">
      <selection activeCell="Q5" sqref="Q5"/>
    </sheetView>
  </sheetViews>
  <sheetFormatPr defaultRowHeight="14.4"/>
  <cols>
    <col min="5" max="5" width="8.88671875" customWidth="1"/>
    <col min="6" max="6" width="1.21875" customWidth="1"/>
    <col min="11" max="11" width="1.6640625" customWidth="1"/>
  </cols>
  <sheetData>
    <row r="1" spans="1:15" ht="24.6" customHeight="1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ht="28.8" customHeight="1">
      <c r="B3" s="12" t="s">
        <v>54</v>
      </c>
      <c r="C3" s="12"/>
      <c r="D3" s="12"/>
      <c r="E3" s="12"/>
      <c r="G3" s="11" t="s">
        <v>52</v>
      </c>
      <c r="H3" s="11"/>
      <c r="I3" s="11"/>
      <c r="J3" s="11"/>
      <c r="L3" s="10" t="s">
        <v>55</v>
      </c>
      <c r="M3" s="10"/>
      <c r="N3" s="10"/>
      <c r="O3" s="10"/>
    </row>
    <row r="4" spans="1:15" ht="14.4" customHeight="1">
      <c r="B4" s="12"/>
      <c r="C4" s="12"/>
      <c r="D4" s="12"/>
      <c r="E4" s="12"/>
      <c r="G4" s="11"/>
      <c r="H4" s="11"/>
      <c r="I4" s="11"/>
      <c r="J4" s="11"/>
      <c r="L4" s="10"/>
      <c r="M4" s="10"/>
      <c r="N4" s="10"/>
      <c r="O4" s="10"/>
    </row>
    <row r="5" spans="1:15" ht="14.4" customHeight="1">
      <c r="B5" s="12"/>
      <c r="C5" s="12"/>
      <c r="D5" s="12"/>
      <c r="E5" s="12"/>
      <c r="G5" s="11"/>
      <c r="H5" s="11"/>
      <c r="I5" s="11"/>
      <c r="J5" s="11"/>
      <c r="L5" s="10"/>
      <c r="M5" s="10"/>
      <c r="N5" s="10"/>
      <c r="O5" s="10"/>
    </row>
    <row r="6" spans="1:15" ht="14.4" customHeight="1">
      <c r="B6" s="12"/>
      <c r="C6" s="12"/>
      <c r="D6" s="12"/>
      <c r="E6" s="12"/>
      <c r="G6" s="11"/>
      <c r="H6" s="11"/>
      <c r="I6" s="11"/>
      <c r="J6" s="11"/>
      <c r="L6" s="10"/>
      <c r="M6" s="10"/>
      <c r="N6" s="10"/>
      <c r="O6" s="10"/>
    </row>
    <row r="20" spans="13:17">
      <c r="M20" s="13" t="s">
        <v>53</v>
      </c>
      <c r="N20" s="13"/>
      <c r="O20" s="13"/>
      <c r="P20" s="13"/>
      <c r="Q20" s="13"/>
    </row>
  </sheetData>
  <mergeCells count="5">
    <mergeCell ref="M20:Q20"/>
    <mergeCell ref="L3:O6"/>
    <mergeCell ref="B3:E6"/>
    <mergeCell ref="G3:J6"/>
    <mergeCell ref="A1:O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opLeftCell="A23" zoomScale="91" workbookViewId="0">
      <selection activeCell="B9" sqref="B9"/>
    </sheetView>
  </sheetViews>
  <sheetFormatPr defaultColWidth="9" defaultRowHeight="14.4"/>
  <cols>
    <col min="1" max="1" width="27.6640625" bestFit="1" customWidth="1"/>
    <col min="2" max="2" width="11.109375" bestFit="1" customWidth="1"/>
    <col min="4" max="4" width="13.88671875" customWidth="1"/>
    <col min="5" max="5" width="9.5546875" customWidth="1"/>
    <col min="6" max="6" width="10.44140625" customWidth="1"/>
    <col min="7" max="7" width="10.21875" customWidth="1"/>
    <col min="8" max="8" width="11.5546875" customWidth="1"/>
    <col min="9" max="9" width="10.2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s="1">
        <v>45658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50000</v>
      </c>
      <c r="I2">
        <v>100000</v>
      </c>
    </row>
    <row r="3" spans="1:9">
      <c r="A3">
        <v>1002</v>
      </c>
      <c r="B3" s="1">
        <v>45659</v>
      </c>
      <c r="C3" t="s">
        <v>13</v>
      </c>
      <c r="D3" t="s">
        <v>14</v>
      </c>
      <c r="E3" t="s">
        <v>15</v>
      </c>
      <c r="F3" t="s">
        <v>12</v>
      </c>
      <c r="G3">
        <v>3</v>
      </c>
      <c r="H3">
        <v>20000</v>
      </c>
      <c r="I3">
        <v>60000</v>
      </c>
    </row>
    <row r="4" spans="1:9">
      <c r="A4">
        <v>1003</v>
      </c>
      <c r="B4" s="1">
        <v>45660</v>
      </c>
      <c r="C4" t="s">
        <v>16</v>
      </c>
      <c r="D4" t="s">
        <v>17</v>
      </c>
      <c r="E4" t="s">
        <v>18</v>
      </c>
      <c r="F4" t="s">
        <v>12</v>
      </c>
      <c r="G4">
        <v>2</v>
      </c>
      <c r="H4">
        <v>15000</v>
      </c>
      <c r="I4">
        <v>30000</v>
      </c>
    </row>
    <row r="5" spans="1:9">
      <c r="A5">
        <v>1004</v>
      </c>
      <c r="B5" s="1">
        <v>45661</v>
      </c>
      <c r="C5" t="s">
        <v>19</v>
      </c>
      <c r="D5" t="s">
        <v>20</v>
      </c>
      <c r="E5" t="s">
        <v>21</v>
      </c>
      <c r="F5" t="s">
        <v>22</v>
      </c>
      <c r="G5">
        <v>5</v>
      </c>
      <c r="H5">
        <v>2000</v>
      </c>
      <c r="I5">
        <v>10000</v>
      </c>
    </row>
    <row r="6" spans="1:9">
      <c r="A6">
        <v>1005</v>
      </c>
      <c r="B6" s="1">
        <v>45662</v>
      </c>
      <c r="C6" t="s">
        <v>9</v>
      </c>
      <c r="D6" t="s">
        <v>10</v>
      </c>
      <c r="E6" t="s">
        <v>23</v>
      </c>
      <c r="F6" t="s">
        <v>12</v>
      </c>
      <c r="G6">
        <v>3</v>
      </c>
      <c r="H6">
        <v>12000</v>
      </c>
      <c r="I6">
        <v>36000</v>
      </c>
    </row>
    <row r="7" spans="1:9">
      <c r="A7">
        <v>1006</v>
      </c>
      <c r="B7" s="1">
        <v>45663</v>
      </c>
      <c r="C7" t="s">
        <v>13</v>
      </c>
      <c r="D7" t="s">
        <v>14</v>
      </c>
      <c r="E7" t="s">
        <v>24</v>
      </c>
      <c r="F7" t="s">
        <v>22</v>
      </c>
      <c r="G7">
        <v>4</v>
      </c>
      <c r="H7">
        <v>1500</v>
      </c>
      <c r="I7">
        <v>6000</v>
      </c>
    </row>
    <row r="8" spans="1:9">
      <c r="A8">
        <v>1007</v>
      </c>
      <c r="B8" s="1">
        <v>45664</v>
      </c>
      <c r="C8" t="s">
        <v>16</v>
      </c>
      <c r="D8" t="s">
        <v>17</v>
      </c>
      <c r="E8" t="s">
        <v>25</v>
      </c>
      <c r="F8" t="s">
        <v>22</v>
      </c>
      <c r="G8">
        <v>6</v>
      </c>
      <c r="H8">
        <v>800</v>
      </c>
      <c r="I8">
        <v>4800</v>
      </c>
    </row>
    <row r="9" spans="1:9">
      <c r="A9">
        <v>1008</v>
      </c>
      <c r="B9" s="1">
        <v>45665</v>
      </c>
      <c r="C9" t="s">
        <v>19</v>
      </c>
      <c r="D9" t="s">
        <v>20</v>
      </c>
      <c r="E9" t="s">
        <v>11</v>
      </c>
      <c r="F9" t="s">
        <v>12</v>
      </c>
      <c r="G9">
        <v>1</v>
      </c>
      <c r="H9">
        <v>50000</v>
      </c>
      <c r="I9">
        <v>50000</v>
      </c>
    </row>
    <row r="10" spans="1:9">
      <c r="A10">
        <v>1009</v>
      </c>
      <c r="B10" s="1">
        <v>45666</v>
      </c>
      <c r="C10" t="s">
        <v>9</v>
      </c>
      <c r="D10" t="s">
        <v>10</v>
      </c>
      <c r="E10" t="s">
        <v>15</v>
      </c>
      <c r="F10" t="s">
        <v>12</v>
      </c>
      <c r="G10">
        <v>2</v>
      </c>
      <c r="H10">
        <v>20000</v>
      </c>
      <c r="I10">
        <v>40000</v>
      </c>
    </row>
    <row r="11" spans="1:9">
      <c r="A11">
        <v>1010</v>
      </c>
      <c r="B11" s="1">
        <v>45667</v>
      </c>
      <c r="C11" t="s">
        <v>13</v>
      </c>
      <c r="D11" t="s">
        <v>14</v>
      </c>
      <c r="E11" t="s">
        <v>18</v>
      </c>
      <c r="F11" t="s">
        <v>12</v>
      </c>
      <c r="G11">
        <v>3</v>
      </c>
      <c r="H11">
        <v>15000</v>
      </c>
      <c r="I11">
        <v>45000</v>
      </c>
    </row>
    <row r="12" spans="1:9">
      <c r="A12">
        <v>1011</v>
      </c>
      <c r="B12" s="1">
        <v>45668</v>
      </c>
      <c r="C12" t="s">
        <v>16</v>
      </c>
      <c r="D12" t="s">
        <v>17</v>
      </c>
      <c r="E12" t="s">
        <v>23</v>
      </c>
      <c r="F12" t="s">
        <v>12</v>
      </c>
      <c r="G12">
        <v>2</v>
      </c>
      <c r="H12">
        <v>12000</v>
      </c>
      <c r="I12">
        <v>24000</v>
      </c>
    </row>
    <row r="13" spans="1:9">
      <c r="A13">
        <v>1012</v>
      </c>
      <c r="B13" s="1">
        <v>45669</v>
      </c>
      <c r="C13" t="s">
        <v>19</v>
      </c>
      <c r="D13" t="s">
        <v>20</v>
      </c>
      <c r="E13" t="s">
        <v>24</v>
      </c>
      <c r="F13" t="s">
        <v>22</v>
      </c>
      <c r="G13">
        <v>5</v>
      </c>
      <c r="H13">
        <v>1500</v>
      </c>
      <c r="I13">
        <v>7500</v>
      </c>
    </row>
    <row r="14" spans="1:9">
      <c r="A14">
        <v>1013</v>
      </c>
      <c r="B14" s="1">
        <v>45670</v>
      </c>
      <c r="C14" t="s">
        <v>9</v>
      </c>
      <c r="D14" t="s">
        <v>10</v>
      </c>
      <c r="E14" t="s">
        <v>25</v>
      </c>
      <c r="F14" t="s">
        <v>22</v>
      </c>
      <c r="G14">
        <v>8</v>
      </c>
      <c r="H14">
        <v>800</v>
      </c>
      <c r="I14">
        <v>6400</v>
      </c>
    </row>
    <row r="15" spans="1:9">
      <c r="A15">
        <v>1014</v>
      </c>
      <c r="B15" s="1">
        <v>45671</v>
      </c>
      <c r="C15" t="s">
        <v>13</v>
      </c>
      <c r="D15" t="s">
        <v>14</v>
      </c>
      <c r="E15" t="s">
        <v>21</v>
      </c>
      <c r="F15" t="s">
        <v>22</v>
      </c>
      <c r="G15">
        <v>4</v>
      </c>
      <c r="H15">
        <v>2000</v>
      </c>
      <c r="I15">
        <v>8000</v>
      </c>
    </row>
    <row r="16" spans="1:9">
      <c r="A16">
        <v>1015</v>
      </c>
      <c r="B16" s="1">
        <v>45672</v>
      </c>
      <c r="C16" t="s">
        <v>16</v>
      </c>
      <c r="D16" t="s">
        <v>17</v>
      </c>
      <c r="E16" t="s">
        <v>11</v>
      </c>
      <c r="F16" t="s">
        <v>12</v>
      </c>
      <c r="G16">
        <v>2</v>
      </c>
      <c r="H16">
        <v>50000</v>
      </c>
      <c r="I16">
        <v>100000</v>
      </c>
    </row>
    <row r="17" spans="1:9">
      <c r="A17">
        <v>1016</v>
      </c>
      <c r="B17" s="1">
        <v>45673</v>
      </c>
      <c r="C17" t="s">
        <v>19</v>
      </c>
      <c r="D17" t="s">
        <v>20</v>
      </c>
      <c r="E17" t="s">
        <v>15</v>
      </c>
      <c r="F17" t="s">
        <v>12</v>
      </c>
      <c r="G17">
        <v>4</v>
      </c>
      <c r="H17">
        <v>20000</v>
      </c>
      <c r="I17">
        <v>80000</v>
      </c>
    </row>
    <row r="18" spans="1:9">
      <c r="A18">
        <v>1017</v>
      </c>
      <c r="B18" s="1">
        <v>45674</v>
      </c>
      <c r="C18" t="s">
        <v>9</v>
      </c>
      <c r="D18" t="s">
        <v>10</v>
      </c>
      <c r="E18" t="s">
        <v>18</v>
      </c>
      <c r="F18" t="s">
        <v>12</v>
      </c>
      <c r="G18">
        <v>1</v>
      </c>
      <c r="H18">
        <v>15000</v>
      </c>
      <c r="I18">
        <v>15000</v>
      </c>
    </row>
    <row r="19" spans="1:9">
      <c r="A19">
        <v>1018</v>
      </c>
      <c r="B19" s="1">
        <v>45675</v>
      </c>
      <c r="C19" t="s">
        <v>13</v>
      </c>
      <c r="D19" t="s">
        <v>14</v>
      </c>
      <c r="E19" t="s">
        <v>23</v>
      </c>
      <c r="F19" t="s">
        <v>12</v>
      </c>
      <c r="G19">
        <v>2</v>
      </c>
      <c r="H19">
        <v>12000</v>
      </c>
      <c r="I19">
        <v>24000</v>
      </c>
    </row>
    <row r="20" spans="1:9">
      <c r="A20">
        <v>1019</v>
      </c>
      <c r="B20" s="1">
        <v>45676</v>
      </c>
      <c r="C20" t="s">
        <v>16</v>
      </c>
      <c r="D20" t="s">
        <v>17</v>
      </c>
      <c r="E20" t="s">
        <v>24</v>
      </c>
      <c r="F20" t="s">
        <v>22</v>
      </c>
      <c r="G20">
        <v>6</v>
      </c>
      <c r="H20">
        <v>1500</v>
      </c>
      <c r="I20">
        <v>9000</v>
      </c>
    </row>
    <row r="21" spans="1:9">
      <c r="A21">
        <v>1020</v>
      </c>
      <c r="B21" s="1">
        <v>45677</v>
      </c>
      <c r="C21" t="s">
        <v>19</v>
      </c>
      <c r="D21" t="s">
        <v>20</v>
      </c>
      <c r="E21" t="s">
        <v>25</v>
      </c>
      <c r="F21" t="s">
        <v>22</v>
      </c>
      <c r="G21">
        <v>10</v>
      </c>
      <c r="H21">
        <v>800</v>
      </c>
      <c r="I21">
        <v>8000</v>
      </c>
    </row>
    <row r="22" spans="1:9">
      <c r="A22">
        <v>1021</v>
      </c>
      <c r="B22" s="1">
        <v>45678</v>
      </c>
      <c r="C22" t="s">
        <v>9</v>
      </c>
      <c r="D22" t="s">
        <v>10</v>
      </c>
      <c r="E22" t="s">
        <v>21</v>
      </c>
      <c r="F22" t="s">
        <v>22</v>
      </c>
      <c r="G22">
        <v>7</v>
      </c>
      <c r="H22">
        <v>2000</v>
      </c>
      <c r="I22">
        <v>14000</v>
      </c>
    </row>
    <row r="23" spans="1:9">
      <c r="A23">
        <v>1022</v>
      </c>
      <c r="B23" s="1">
        <v>45679</v>
      </c>
      <c r="C23" t="s">
        <v>13</v>
      </c>
      <c r="D23" t="s">
        <v>14</v>
      </c>
      <c r="E23" t="s">
        <v>11</v>
      </c>
      <c r="F23" t="s">
        <v>12</v>
      </c>
      <c r="G23">
        <v>1</v>
      </c>
      <c r="H23">
        <v>50000</v>
      </c>
      <c r="I23">
        <v>50000</v>
      </c>
    </row>
    <row r="24" spans="1:9">
      <c r="A24">
        <v>1023</v>
      </c>
      <c r="B24" s="1">
        <v>45680</v>
      </c>
      <c r="C24" t="s">
        <v>16</v>
      </c>
      <c r="D24" t="s">
        <v>17</v>
      </c>
      <c r="E24" t="s">
        <v>15</v>
      </c>
      <c r="F24" t="s">
        <v>12</v>
      </c>
      <c r="G24">
        <v>3</v>
      </c>
      <c r="H24">
        <v>20000</v>
      </c>
      <c r="I24">
        <v>60000</v>
      </c>
    </row>
    <row r="25" spans="1:9">
      <c r="A25">
        <v>1024</v>
      </c>
      <c r="B25" s="1">
        <v>45681</v>
      </c>
      <c r="C25" t="s">
        <v>19</v>
      </c>
      <c r="D25" t="s">
        <v>20</v>
      </c>
      <c r="E25" t="s">
        <v>18</v>
      </c>
      <c r="F25" t="s">
        <v>12</v>
      </c>
      <c r="G25">
        <v>2</v>
      </c>
      <c r="H25">
        <v>15000</v>
      </c>
      <c r="I25">
        <v>30000</v>
      </c>
    </row>
    <row r="26" spans="1:9">
      <c r="A26">
        <v>1025</v>
      </c>
      <c r="B26" s="1">
        <v>45682</v>
      </c>
      <c r="C26" t="s">
        <v>9</v>
      </c>
      <c r="D26" t="s">
        <v>10</v>
      </c>
      <c r="E26" t="s">
        <v>23</v>
      </c>
      <c r="F26" t="s">
        <v>12</v>
      </c>
      <c r="G26">
        <v>4</v>
      </c>
      <c r="H26">
        <v>12000</v>
      </c>
      <c r="I26">
        <v>48000</v>
      </c>
    </row>
    <row r="27" spans="1:9">
      <c r="A27">
        <v>1026</v>
      </c>
      <c r="B27" s="1">
        <v>45683</v>
      </c>
      <c r="C27" t="s">
        <v>13</v>
      </c>
      <c r="D27" t="s">
        <v>14</v>
      </c>
      <c r="E27" t="s">
        <v>24</v>
      </c>
      <c r="F27" t="s">
        <v>22</v>
      </c>
      <c r="G27">
        <v>5</v>
      </c>
      <c r="H27">
        <v>1500</v>
      </c>
      <c r="I27">
        <v>7500</v>
      </c>
    </row>
    <row r="28" spans="1:9">
      <c r="A28">
        <v>1027</v>
      </c>
      <c r="B28" s="1">
        <v>45684</v>
      </c>
      <c r="C28" t="s">
        <v>16</v>
      </c>
      <c r="D28" t="s">
        <v>17</v>
      </c>
      <c r="E28" t="s">
        <v>25</v>
      </c>
      <c r="F28" t="s">
        <v>22</v>
      </c>
      <c r="G28">
        <v>7</v>
      </c>
      <c r="H28">
        <v>800</v>
      </c>
      <c r="I28">
        <v>5600</v>
      </c>
    </row>
    <row r="29" spans="1:9">
      <c r="A29">
        <v>1028</v>
      </c>
      <c r="B29" s="1">
        <v>45685</v>
      </c>
      <c r="C29" t="s">
        <v>19</v>
      </c>
      <c r="D29" t="s">
        <v>20</v>
      </c>
      <c r="E29" t="s">
        <v>21</v>
      </c>
      <c r="F29" t="s">
        <v>22</v>
      </c>
      <c r="G29">
        <v>6</v>
      </c>
      <c r="H29">
        <v>2000</v>
      </c>
      <c r="I29">
        <v>12000</v>
      </c>
    </row>
    <row r="30" spans="1:9">
      <c r="A30">
        <v>1029</v>
      </c>
      <c r="B30" s="1">
        <v>45686</v>
      </c>
      <c r="C30" t="s">
        <v>9</v>
      </c>
      <c r="D30" t="s">
        <v>10</v>
      </c>
      <c r="E30" t="s">
        <v>11</v>
      </c>
      <c r="F30" t="s">
        <v>12</v>
      </c>
      <c r="G30">
        <v>1</v>
      </c>
      <c r="H30">
        <v>50000</v>
      </c>
      <c r="I30">
        <v>50000</v>
      </c>
    </row>
    <row r="31" spans="1:9">
      <c r="A31">
        <v>1030</v>
      </c>
      <c r="B31" s="1">
        <v>45687</v>
      </c>
      <c r="C31" t="s">
        <v>13</v>
      </c>
      <c r="D31" t="s">
        <v>14</v>
      </c>
      <c r="E31" t="s">
        <v>15</v>
      </c>
      <c r="F31" t="s">
        <v>12</v>
      </c>
      <c r="G31">
        <v>2</v>
      </c>
      <c r="H31">
        <v>20000</v>
      </c>
      <c r="I31">
        <v>40000</v>
      </c>
    </row>
    <row r="32" spans="1:9">
      <c r="A32">
        <v>1031</v>
      </c>
      <c r="B32" s="1">
        <v>45689</v>
      </c>
      <c r="C32" t="s">
        <v>16</v>
      </c>
      <c r="D32" t="s">
        <v>17</v>
      </c>
      <c r="E32" t="s">
        <v>18</v>
      </c>
      <c r="F32" t="s">
        <v>12</v>
      </c>
      <c r="G32">
        <v>3</v>
      </c>
      <c r="H32">
        <v>15000</v>
      </c>
      <c r="I32">
        <v>45000</v>
      </c>
    </row>
    <row r="33" spans="1:9">
      <c r="A33">
        <v>1032</v>
      </c>
      <c r="B33" s="1">
        <v>45690</v>
      </c>
      <c r="C33" t="s">
        <v>19</v>
      </c>
      <c r="D33" t="s">
        <v>20</v>
      </c>
      <c r="E33" t="s">
        <v>23</v>
      </c>
      <c r="F33" t="s">
        <v>12</v>
      </c>
      <c r="G33">
        <v>2</v>
      </c>
      <c r="H33">
        <v>12000</v>
      </c>
      <c r="I33">
        <v>24000</v>
      </c>
    </row>
    <row r="34" spans="1:9">
      <c r="A34">
        <v>1033</v>
      </c>
      <c r="B34" s="1">
        <v>45691</v>
      </c>
      <c r="C34" t="s">
        <v>9</v>
      </c>
      <c r="D34" t="s">
        <v>10</v>
      </c>
      <c r="E34" t="s">
        <v>24</v>
      </c>
      <c r="F34" t="s">
        <v>22</v>
      </c>
      <c r="G34">
        <v>8</v>
      </c>
      <c r="H34">
        <v>1500</v>
      </c>
      <c r="I34">
        <v>12000</v>
      </c>
    </row>
    <row r="35" spans="1:9">
      <c r="A35">
        <v>1034</v>
      </c>
      <c r="B35" s="1">
        <v>45692</v>
      </c>
      <c r="C35" t="s">
        <v>13</v>
      </c>
      <c r="D35" t="s">
        <v>14</v>
      </c>
      <c r="E35" t="s">
        <v>25</v>
      </c>
      <c r="F35" t="s">
        <v>22</v>
      </c>
      <c r="G35">
        <v>9</v>
      </c>
      <c r="H35">
        <v>800</v>
      </c>
      <c r="I35">
        <v>7200</v>
      </c>
    </row>
    <row r="36" spans="1:9">
      <c r="A36">
        <v>1035</v>
      </c>
      <c r="B36" s="1">
        <v>45693</v>
      </c>
      <c r="C36" t="s">
        <v>16</v>
      </c>
      <c r="D36" t="s">
        <v>17</v>
      </c>
      <c r="E36" t="s">
        <v>21</v>
      </c>
      <c r="F36" t="s">
        <v>22</v>
      </c>
      <c r="G36">
        <v>5</v>
      </c>
      <c r="H36">
        <v>2000</v>
      </c>
      <c r="I36">
        <v>10000</v>
      </c>
    </row>
    <row r="37" spans="1:9">
      <c r="A37">
        <v>1036</v>
      </c>
      <c r="B37" s="1">
        <v>45694</v>
      </c>
      <c r="C37" t="s">
        <v>19</v>
      </c>
      <c r="D37" t="s">
        <v>20</v>
      </c>
      <c r="E37" t="s">
        <v>11</v>
      </c>
      <c r="F37" t="s">
        <v>12</v>
      </c>
      <c r="G37">
        <v>2</v>
      </c>
      <c r="H37">
        <v>50000</v>
      </c>
      <c r="I37">
        <v>100000</v>
      </c>
    </row>
    <row r="38" spans="1:9">
      <c r="A38">
        <v>1037</v>
      </c>
      <c r="B38" s="1">
        <v>45695</v>
      </c>
      <c r="C38" t="s">
        <v>9</v>
      </c>
      <c r="D38" t="s">
        <v>10</v>
      </c>
      <c r="E38" t="s">
        <v>15</v>
      </c>
      <c r="F38" t="s">
        <v>12</v>
      </c>
      <c r="G38">
        <v>3</v>
      </c>
      <c r="H38">
        <v>20000</v>
      </c>
      <c r="I38">
        <v>60000</v>
      </c>
    </row>
    <row r="39" spans="1:9">
      <c r="A39">
        <v>1038</v>
      </c>
      <c r="B39" s="1">
        <v>45696</v>
      </c>
      <c r="C39" t="s">
        <v>13</v>
      </c>
      <c r="D39" t="s">
        <v>14</v>
      </c>
      <c r="E39" t="s">
        <v>18</v>
      </c>
      <c r="F39" t="s">
        <v>12</v>
      </c>
      <c r="G39">
        <v>1</v>
      </c>
      <c r="H39">
        <v>15000</v>
      </c>
      <c r="I39">
        <v>15000</v>
      </c>
    </row>
    <row r="40" spans="1:9">
      <c r="A40">
        <v>1039</v>
      </c>
      <c r="B40" s="1">
        <v>45697</v>
      </c>
      <c r="C40" t="s">
        <v>16</v>
      </c>
      <c r="D40" t="s">
        <v>17</v>
      </c>
      <c r="E40" t="s">
        <v>23</v>
      </c>
      <c r="F40" t="s">
        <v>12</v>
      </c>
      <c r="G40">
        <v>3</v>
      </c>
      <c r="H40">
        <v>12000</v>
      </c>
      <c r="I40">
        <v>36000</v>
      </c>
    </row>
    <row r="41" spans="1:9">
      <c r="A41">
        <v>1040</v>
      </c>
      <c r="B41" s="1">
        <v>45698</v>
      </c>
      <c r="C41" t="s">
        <v>19</v>
      </c>
      <c r="D41" t="s">
        <v>20</v>
      </c>
      <c r="E41" t="s">
        <v>24</v>
      </c>
      <c r="F41" t="s">
        <v>22</v>
      </c>
      <c r="G41">
        <v>4</v>
      </c>
      <c r="H41">
        <v>1500</v>
      </c>
      <c r="I41">
        <v>6000</v>
      </c>
    </row>
    <row r="42" spans="1:9">
      <c r="A42">
        <v>1041</v>
      </c>
      <c r="B42" s="1">
        <v>45699</v>
      </c>
      <c r="C42" t="s">
        <v>9</v>
      </c>
      <c r="D42" t="s">
        <v>10</v>
      </c>
      <c r="E42" t="s">
        <v>25</v>
      </c>
      <c r="F42" t="s">
        <v>22</v>
      </c>
      <c r="G42">
        <v>10</v>
      </c>
      <c r="H42">
        <v>800</v>
      </c>
      <c r="I42">
        <v>8000</v>
      </c>
    </row>
    <row r="43" spans="1:9">
      <c r="A43">
        <v>1042</v>
      </c>
      <c r="B43" s="1">
        <v>45700</v>
      </c>
      <c r="C43" t="s">
        <v>13</v>
      </c>
      <c r="D43" t="s">
        <v>14</v>
      </c>
      <c r="E43" t="s">
        <v>21</v>
      </c>
      <c r="F43" t="s">
        <v>22</v>
      </c>
      <c r="G43">
        <v>8</v>
      </c>
      <c r="H43">
        <v>2000</v>
      </c>
      <c r="I43">
        <v>16000</v>
      </c>
    </row>
    <row r="44" spans="1:9">
      <c r="A44">
        <v>1043</v>
      </c>
      <c r="B44" s="1">
        <v>45701</v>
      </c>
      <c r="C44" t="s">
        <v>16</v>
      </c>
      <c r="D44" t="s">
        <v>17</v>
      </c>
      <c r="E44" t="s">
        <v>11</v>
      </c>
      <c r="F44" t="s">
        <v>12</v>
      </c>
      <c r="G44">
        <v>1</v>
      </c>
      <c r="H44">
        <v>50000</v>
      </c>
      <c r="I44">
        <v>50000</v>
      </c>
    </row>
    <row r="45" spans="1:9">
      <c r="A45">
        <v>1044</v>
      </c>
      <c r="B45" s="1">
        <v>45702</v>
      </c>
      <c r="C45" t="s">
        <v>19</v>
      </c>
      <c r="D45" t="s">
        <v>20</v>
      </c>
      <c r="E45" t="s">
        <v>15</v>
      </c>
      <c r="F45" t="s">
        <v>12</v>
      </c>
      <c r="G45">
        <v>2</v>
      </c>
      <c r="H45">
        <v>20000</v>
      </c>
      <c r="I45">
        <v>40000</v>
      </c>
    </row>
    <row r="46" spans="1:9">
      <c r="A46">
        <v>1045</v>
      </c>
      <c r="B46" s="1">
        <v>45703</v>
      </c>
      <c r="C46" t="s">
        <v>9</v>
      </c>
      <c r="D46" t="s">
        <v>10</v>
      </c>
      <c r="E46" t="s">
        <v>18</v>
      </c>
      <c r="F46" t="s">
        <v>12</v>
      </c>
      <c r="G46">
        <v>2</v>
      </c>
      <c r="H46">
        <v>15000</v>
      </c>
      <c r="I46">
        <v>30000</v>
      </c>
    </row>
    <row r="47" spans="1:9">
      <c r="A47">
        <v>1046</v>
      </c>
      <c r="B47" s="1">
        <v>45704</v>
      </c>
      <c r="C47" t="s">
        <v>13</v>
      </c>
      <c r="D47" t="s">
        <v>14</v>
      </c>
      <c r="E47" t="s">
        <v>23</v>
      </c>
      <c r="F47" t="s">
        <v>12</v>
      </c>
      <c r="G47">
        <v>1</v>
      </c>
      <c r="H47">
        <v>12000</v>
      </c>
      <c r="I47">
        <v>12000</v>
      </c>
    </row>
    <row r="48" spans="1:9">
      <c r="A48">
        <v>1047</v>
      </c>
      <c r="B48" s="1">
        <v>45705</v>
      </c>
      <c r="C48" t="s">
        <v>16</v>
      </c>
      <c r="D48" t="s">
        <v>17</v>
      </c>
      <c r="E48" t="s">
        <v>24</v>
      </c>
      <c r="F48" t="s">
        <v>22</v>
      </c>
      <c r="G48">
        <v>5</v>
      </c>
      <c r="H48">
        <v>1500</v>
      </c>
      <c r="I48">
        <v>7500</v>
      </c>
    </row>
    <row r="49" spans="1:9">
      <c r="A49">
        <v>1048</v>
      </c>
      <c r="B49" s="1">
        <v>45706</v>
      </c>
      <c r="C49" t="s">
        <v>19</v>
      </c>
      <c r="D49" t="s">
        <v>20</v>
      </c>
      <c r="E49" t="s">
        <v>25</v>
      </c>
      <c r="F49" t="s">
        <v>22</v>
      </c>
      <c r="G49">
        <v>6</v>
      </c>
      <c r="H49">
        <v>800</v>
      </c>
      <c r="I49">
        <v>4800</v>
      </c>
    </row>
    <row r="50" spans="1:9">
      <c r="A50">
        <v>1049</v>
      </c>
      <c r="B50" s="1">
        <v>45707</v>
      </c>
      <c r="C50" t="s">
        <v>9</v>
      </c>
      <c r="D50" t="s">
        <v>10</v>
      </c>
      <c r="E50" t="s">
        <v>21</v>
      </c>
      <c r="F50" t="s">
        <v>22</v>
      </c>
      <c r="G50">
        <v>4</v>
      </c>
      <c r="H50">
        <v>2000</v>
      </c>
      <c r="I50">
        <v>8000</v>
      </c>
    </row>
    <row r="51" spans="1:9">
      <c r="A51">
        <v>1050</v>
      </c>
      <c r="B51" s="1">
        <v>45708</v>
      </c>
      <c r="C51" t="s">
        <v>13</v>
      </c>
      <c r="D51" t="s">
        <v>14</v>
      </c>
      <c r="E51" t="s">
        <v>11</v>
      </c>
      <c r="F51" t="s">
        <v>12</v>
      </c>
      <c r="G51">
        <v>2</v>
      </c>
      <c r="H51">
        <v>50000</v>
      </c>
      <c r="I51">
        <v>100000</v>
      </c>
    </row>
    <row r="54" spans="1:9">
      <c r="A54" t="s">
        <v>26</v>
      </c>
      <c r="B54">
        <f>SUM(Table1[Revenue])</f>
        <v>1572300</v>
      </c>
    </row>
    <row r="55" spans="1:9">
      <c r="A55" t="s">
        <v>27</v>
      </c>
      <c r="B55">
        <f>AVERAGE(Table1[Revenue])</f>
        <v>31446</v>
      </c>
    </row>
    <row r="56" spans="1:9">
      <c r="A56" t="s">
        <v>28</v>
      </c>
      <c r="B56">
        <f>MAX(Table1[Revenue])</f>
        <v>100000</v>
      </c>
    </row>
    <row r="57" spans="1:9">
      <c r="A57" t="s">
        <v>29</v>
      </c>
      <c r="B57">
        <f>MIN(Table1[Revenue])</f>
        <v>4800</v>
      </c>
      <c r="F57">
        <f>SUMIF($F$2:$F$51,A2,$I$2:$I$51)</f>
        <v>0</v>
      </c>
    </row>
    <row r="58" spans="1:9">
      <c r="A58" t="s">
        <v>30</v>
      </c>
      <c r="B58">
        <f>COUNT(Table1[Order_ID])</f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Burrewar Neha</dc:creator>
  <cp:lastModifiedBy>Burrewar Neha</cp:lastModifiedBy>
  <dcterms:created xsi:type="dcterms:W3CDTF">2026-06-17T11:39:00Z</dcterms:created>
  <dcterms:modified xsi:type="dcterms:W3CDTF">2026-06-18T07:44:31Z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D18B6EE4AB474567A8F8C1D626C4A8F9_12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